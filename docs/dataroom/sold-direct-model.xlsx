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&amp;L (Base)" sheetId="2" state="visible" r:id="rId2"/>
    <sheet name="Scenarios" sheetId="3" state="visible" r:id="rId3"/>
    <sheet name="Capital &amp; Valuation" sheetId="4" state="visible" r:id="rId4"/>
    <sheet name="Notes &amp; 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R#,##0"/>
  </numFmts>
  <fonts count="8">
    <font>
      <name val="Calibri"/>
      <family val="2"/>
      <color theme="1"/>
      <sz val="11"/>
      <scheme val="minor"/>
    </font>
    <font>
      <b val="1"/>
      <color rgb="001F2937"/>
      <sz val="14"/>
    </font>
    <font>
      <i val="1"/>
      <color rgb="0064748B"/>
      <sz val="9"/>
    </font>
    <font>
      <b val="1"/>
      <color rgb="00FFFFFF"/>
      <sz val="11"/>
    </font>
    <font>
      <color rgb="00334155"/>
      <sz val="10"/>
    </font>
    <font>
      <sz val="10"/>
    </font>
    <font>
      <b val="1"/>
      <color rgb="00065F46"/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065F46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164" fontId="5" fillId="3" borderId="0" pivotButton="0" quotePrefix="0" xfId="0"/>
    <xf numFmtId="165" fontId="5" fillId="3" borderId="0" pivotButton="0" quotePrefix="0" xfId="0"/>
    <xf numFmtId="4" fontId="5" fillId="3" borderId="0" pivotButton="0" quotePrefix="0" xfId="0"/>
    <xf numFmtId="0" fontId="6" fillId="0" borderId="0" applyAlignment="1" pivotButton="0" quotePrefix="0" xfId="0">
      <alignment horizontal="center"/>
    </xf>
    <xf numFmtId="0" fontId="4" fillId="4" borderId="0" pivotButton="0" quotePrefix="0" xfId="0"/>
    <xf numFmtId="4" fontId="5" fillId="4" borderId="0" pivotButton="0" quotePrefix="0" xfId="0"/>
    <xf numFmtId="166" fontId="5" fillId="4" borderId="0" pivotButton="0" quotePrefix="0" xfId="0"/>
    <xf numFmtId="166" fontId="5" fillId="3" borderId="0" pivotButton="0" quotePrefix="0" xfId="0"/>
    <xf numFmtId="0" fontId="7" fillId="4" borderId="0" pivotButton="0" quotePrefix="0" xfId="0"/>
    <xf numFmtId="166" fontId="7" fillId="4" borderId="0" pivotButton="0" quotePrefix="0" xfId="0"/>
    <xf numFmtId="3" fontId="5" fillId="3" borderId="0" pivotButton="0" quotePrefix="0" xfId="0"/>
    <xf numFmtId="2" fontId="5" fillId="3" borderId="0" pivotButton="0" quotePrefix="0" xfId="0"/>
    <xf numFmtId="165" fontId="5" fillId="4" borderId="0" pivotButton="0" quotePrefix="0" xfId="0"/>
    <xf numFmtId="4" fontId="7" fillId="4" borderId="0" pivotButton="0" quotePrefix="0" xfId="0"/>
    <xf numFmtId="0" fontId="4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0" fontId="7" fillId="5" borderId="0" pivotButton="0" quotePrefix="0" xfId="0"/>
    <xf numFmtId="4" fontId="7" fillId="5" borderId="0" pivotButton="0" quotePrefix="0" xfId="0"/>
    <xf numFmtId="4" fontId="5" fillId="0" borderId="0" pivotButton="0" quotePrefix="0" xfId="0"/>
    <xf numFmtId="0" fontId="7" fillId="0" borderId="0" pivotButton="0" quotePrefix="0" xfId="0"/>
    <xf numFmtId="4" fontId="7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9E0B"/>
    <outlinePr summaryBelow="1" summaryRight="1"/>
    <pageSetUpPr/>
  </sheetPr>
  <dimension ref="B1:H54"/>
  <sheetViews>
    <sheetView showGridLines="0" workbookViewId="0">
      <selection activeCell="A1" sqref="A1"/>
    </sheetView>
  </sheetViews>
  <sheetFormatPr baseColWidth="8" defaultRowHeight="15"/>
  <cols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B1" s="1" t="inlineStr">
        <is>
          <t>Sold Direct — Model Assumptions (Prime · Nedbank-0% · AI-lean)</t>
        </is>
      </c>
    </row>
    <row r="2">
      <c r="B2" s="2" t="inlineStr">
        <is>
          <t>Amber = editable input. Grey = calculated. Every other tab links here.</t>
        </is>
      </c>
    </row>
    <row r="4">
      <c r="B4" s="3" t="inlineStr">
        <is>
          <t>GLOBAL INPUTS</t>
        </is>
      </c>
      <c r="C4" s="3" t="n"/>
      <c r="D4" s="3" t="n"/>
      <c r="E4" s="3" t="n"/>
      <c r="F4" s="3" t="n"/>
      <c r="G4" s="3" t="n"/>
      <c r="H4" s="3" t="n"/>
    </row>
    <row r="5">
      <c r="B5" s="4" t="inlineStr">
        <is>
          <t>Nedbank partner kickback (% of bond)</t>
        </is>
      </c>
      <c r="C5" s="5" t="n">
        <v>0.005</v>
      </c>
    </row>
    <row r="6">
      <c r="B6" s="4" t="inlineStr">
        <is>
          <t>Facilitation fee — non-partner deals (% of price)</t>
        </is>
      </c>
      <c r="C6" s="5" t="n">
        <v>0.01</v>
      </c>
    </row>
    <row r="7">
      <c r="B7" s="4" t="inlineStr">
        <is>
          <t>Gross margin</t>
        </is>
      </c>
      <c r="C7" s="5" t="n">
        <v>0.88</v>
      </c>
    </row>
    <row r="8">
      <c r="B8" s="4" t="inlineStr">
        <is>
          <t>ZAR per USD</t>
        </is>
      </c>
      <c r="C8" s="6" t="n">
        <v>18.5</v>
      </c>
    </row>
    <row r="9">
      <c r="B9" s="4" t="inlineStr">
        <is>
          <t>Valuation multiple — low (x revenue)</t>
        </is>
      </c>
      <c r="C9" s="6" t="n">
        <v>4</v>
      </c>
    </row>
    <row r="10">
      <c r="B10" s="4" t="inlineStr">
        <is>
          <t>Valuation multiple — high (x revenue)</t>
        </is>
      </c>
      <c r="C10" s="6" t="n">
        <v>6</v>
      </c>
    </row>
    <row r="11">
      <c r="B11" s="4" t="inlineStr">
        <is>
          <t>Working-capital / contingency buffer (Rm)</t>
        </is>
      </c>
      <c r="C11" s="7" t="n">
        <v>3</v>
      </c>
    </row>
    <row r="13">
      <c r="B13" s="3" t="inlineStr">
        <is>
          <t>PER-YEAR REVENUE DRIVERS (BASE)</t>
        </is>
      </c>
      <c r="C13" s="3" t="n"/>
      <c r="D13" s="3" t="n"/>
      <c r="E13" s="3" t="n"/>
      <c r="F13" s="3" t="n"/>
      <c r="G13" s="3" t="n"/>
      <c r="H13" s="3" t="n"/>
    </row>
    <row r="14">
      <c r="C14" s="8" t="inlineStr">
        <is>
          <t>Y1</t>
        </is>
      </c>
      <c r="D14" s="8" t="inlineStr">
        <is>
          <t>Y2</t>
        </is>
      </c>
      <c r="E14" s="8" t="inlineStr">
        <is>
          <t>Y3</t>
        </is>
      </c>
      <c r="F14" s="8" t="inlineStr">
        <is>
          <t>Y4</t>
        </is>
      </c>
      <c r="G14" s="8" t="inlineStr">
        <is>
          <t>Y5</t>
        </is>
      </c>
    </row>
    <row r="15">
      <c r="B15" s="4" t="inlineStr">
        <is>
          <t>Avg transacting price (Rm)</t>
        </is>
      </c>
      <c r="C15" s="7" t="n">
        <v>6.5</v>
      </c>
      <c r="D15" s="7" t="n">
        <v>6.7</v>
      </c>
      <c r="E15" s="7" t="n">
        <v>6.8</v>
      </c>
      <c r="F15" s="7" t="n">
        <v>6.9</v>
      </c>
      <c r="G15" s="7" t="n">
        <v>7</v>
      </c>
    </row>
    <row r="16">
      <c r="B16" s="4" t="inlineStr">
        <is>
          <t>Bonded-with-Nedbank share (&gt;=80% -&gt; free)</t>
        </is>
      </c>
      <c r="C16" s="5" t="n">
        <v>0.4</v>
      </c>
      <c r="D16" s="5" t="n">
        <v>0.4</v>
      </c>
      <c r="E16" s="5" t="n">
        <v>0.4</v>
      </c>
      <c r="F16" s="5" t="n">
        <v>0.42</v>
      </c>
      <c r="G16" s="5" t="n">
        <v>0.42</v>
      </c>
    </row>
    <row r="17">
      <c r="B17" s="9" t="inlineStr">
        <is>
          <t>Bond size = 90% of price (Rm)</t>
        </is>
      </c>
      <c r="C17" s="10">
        <f>C15*0.9</f>
        <v/>
      </c>
      <c r="D17" s="10">
        <f>D15*0.9</f>
        <v/>
      </c>
      <c r="E17" s="10">
        <f>E15*0.9</f>
        <v/>
      </c>
      <c r="F17" s="10">
        <f>F15*0.9</f>
        <v/>
      </c>
      <c r="G17" s="10">
        <f>G15*0.9</f>
        <v/>
      </c>
    </row>
    <row r="18">
      <c r="B18" s="9" t="inlineStr">
        <is>
          <t>Nedbank kickback / qualifying deal (R)</t>
        </is>
      </c>
      <c r="C18" s="11">
        <f>C17*1000000*$C$5</f>
        <v/>
      </c>
      <c r="D18" s="11">
        <f>D17*1000000*$C$5</f>
        <v/>
      </c>
      <c r="E18" s="11">
        <f>E17*1000000*$C$5</f>
        <v/>
      </c>
      <c r="F18" s="11">
        <f>F17*1000000*$C$5</f>
        <v/>
      </c>
      <c r="G18" s="11">
        <f>G17*1000000*$C$5</f>
        <v/>
      </c>
    </row>
    <row r="19">
      <c r="B19" s="9" t="inlineStr">
        <is>
          <t>Facilitation fee / non-partner deal (R)</t>
        </is>
      </c>
      <c r="C19" s="11">
        <f>C15*1000000*$C$6</f>
        <v/>
      </c>
      <c r="D19" s="11">
        <f>D15*1000000*$C$6</f>
        <v/>
      </c>
      <c r="E19" s="11">
        <f>E15*1000000*$C$6</f>
        <v/>
      </c>
      <c r="F19" s="11">
        <f>F15*1000000*$C$6</f>
        <v/>
      </c>
      <c r="G19" s="11">
        <f>G15*1000000*$C$6</f>
        <v/>
      </c>
    </row>
    <row r="20">
      <c r="B20" s="9" t="inlineStr">
        <is>
          <t>Kickback OR fee / deal, blended (R)</t>
        </is>
      </c>
      <c r="C20" s="11">
        <f>C16*C18+(1-C16)*C19</f>
        <v/>
      </c>
      <c r="D20" s="11">
        <f>D16*D18+(1-D16)*D19</f>
        <v/>
      </c>
      <c r="E20" s="11">
        <f>E16*E18+(1-E16)*E19</f>
        <v/>
      </c>
      <c r="F20" s="11">
        <f>F16*F18+(1-F16)*F19</f>
        <v/>
      </c>
      <c r="G20" s="11">
        <f>G16*G18+(1-G16)*G19</f>
        <v/>
      </c>
    </row>
    <row r="21">
      <c r="B21" s="4" t="inlineStr">
        <is>
          <t>Conveyancing referral / deal (R)</t>
        </is>
      </c>
      <c r="C21" s="12" t="n">
        <v>9000</v>
      </c>
      <c r="D21" s="12" t="n">
        <v>9000</v>
      </c>
      <c r="E21" s="12" t="n">
        <v>9500</v>
      </c>
      <c r="F21" s="12" t="n">
        <v>10000</v>
      </c>
      <c r="G21" s="12" t="n">
        <v>10000</v>
      </c>
    </row>
    <row r="22">
      <c r="B22" s="4" t="inlineStr">
        <is>
          <t>Add-ons / deal (R)</t>
        </is>
      </c>
      <c r="C22" s="12" t="n">
        <v>5000</v>
      </c>
      <c r="D22" s="12" t="n">
        <v>5000</v>
      </c>
      <c r="E22" s="12" t="n">
        <v>5500</v>
      </c>
      <c r="F22" s="12" t="n">
        <v>6000</v>
      </c>
      <c r="G22" s="12" t="n">
        <v>6500</v>
      </c>
    </row>
    <row r="23">
      <c r="B23" s="13" t="inlineStr">
        <is>
          <t>Revenue per deal (R)</t>
        </is>
      </c>
      <c r="C23" s="14">
        <f>C20+C21+C22</f>
        <v/>
      </c>
      <c r="D23" s="14">
        <f>D20+D21+D22</f>
        <v/>
      </c>
      <c r="E23" s="14">
        <f>E20+E21+E22</f>
        <v/>
      </c>
      <c r="F23" s="14">
        <f>F20+F21+F22</f>
        <v/>
      </c>
      <c r="G23" s="14">
        <f>G20+G21+G22</f>
        <v/>
      </c>
    </row>
    <row r="25">
      <c r="B25" s="3" t="inlineStr">
        <is>
          <t>REGISTERED DEALS BY SCENARIO</t>
        </is>
      </c>
      <c r="C25" s="3" t="n"/>
      <c r="D25" s="3" t="n"/>
      <c r="E25" s="3" t="n"/>
      <c r="F25" s="3" t="n"/>
      <c r="G25" s="3" t="n"/>
      <c r="H25" s="3" t="n"/>
    </row>
    <row r="26">
      <c r="C26" s="8" t="inlineStr">
        <is>
          <t>Y1</t>
        </is>
      </c>
      <c r="D26" s="8" t="inlineStr">
        <is>
          <t>Y2</t>
        </is>
      </c>
      <c r="E26" s="8" t="inlineStr">
        <is>
          <t>Y3</t>
        </is>
      </c>
      <c r="F26" s="8" t="inlineStr">
        <is>
          <t>Y4</t>
        </is>
      </c>
      <c r="G26" s="8" t="inlineStr">
        <is>
          <t>Y5</t>
        </is>
      </c>
    </row>
    <row r="27">
      <c r="B27" s="4" t="inlineStr">
        <is>
          <t>Conservative</t>
        </is>
      </c>
      <c r="C27" s="15" t="n">
        <v>25</v>
      </c>
      <c r="D27" s="15" t="n">
        <v>100</v>
      </c>
      <c r="E27" s="15" t="n">
        <v>280</v>
      </c>
      <c r="F27" s="15" t="n">
        <v>550</v>
      </c>
      <c r="G27" s="15" t="n">
        <v>1000</v>
      </c>
    </row>
    <row r="28">
      <c r="B28" s="4" t="inlineStr">
        <is>
          <t>Base</t>
        </is>
      </c>
      <c r="C28" s="15" t="n">
        <v>40</v>
      </c>
      <c r="D28" s="15" t="n">
        <v>160</v>
      </c>
      <c r="E28" s="15" t="n">
        <v>450</v>
      </c>
      <c r="F28" s="15" t="n">
        <v>900</v>
      </c>
      <c r="G28" s="15" t="n">
        <v>1600</v>
      </c>
    </row>
    <row r="29">
      <c r="B29" s="4" t="inlineStr">
        <is>
          <t>Aggressive</t>
        </is>
      </c>
      <c r="C29" s="15" t="n">
        <v>60</v>
      </c>
      <c r="D29" s="15" t="n">
        <v>250</v>
      </c>
      <c r="E29" s="15" t="n">
        <v>700</v>
      </c>
      <c r="F29" s="15" t="n">
        <v>1400</v>
      </c>
      <c r="G29" s="15" t="n">
        <v>2600</v>
      </c>
    </row>
    <row r="31">
      <c r="B31" s="3" t="inlineStr">
        <is>
          <t>REVENUE/DEAL MULTIPLIER BY SCENARIO</t>
        </is>
      </c>
      <c r="C31" s="3" t="n"/>
      <c r="D31" s="3" t="n"/>
      <c r="E31" s="3" t="n"/>
      <c r="F31" s="3" t="n"/>
      <c r="G31" s="3" t="n"/>
      <c r="H31" s="3" t="n"/>
    </row>
    <row r="32">
      <c r="B32" s="4" t="inlineStr">
        <is>
          <t>Conservative</t>
        </is>
      </c>
      <c r="C32" s="16" t="n">
        <v>0.92</v>
      </c>
    </row>
    <row r="33">
      <c r="B33" s="4" t="inlineStr">
        <is>
          <t>Base</t>
        </is>
      </c>
      <c r="C33" s="16" t="n">
        <v>1</v>
      </c>
    </row>
    <row r="34">
      <c r="B34" s="4" t="inlineStr">
        <is>
          <t>Aggressive</t>
        </is>
      </c>
      <c r="C34" s="16" t="n">
        <v>1.1</v>
      </c>
    </row>
    <row r="36">
      <c r="B36" s="3" t="inlineStr">
        <is>
          <t>OPERATING EXPENSE INPUTS (BASE)</t>
        </is>
      </c>
      <c r="C36" s="3" t="n"/>
      <c r="D36" s="3" t="n"/>
      <c r="E36" s="3" t="n"/>
      <c r="F36" s="3" t="n"/>
      <c r="G36" s="3" t="n"/>
      <c r="H36" s="3" t="n"/>
    </row>
    <row r="37">
      <c r="C37" s="8" t="inlineStr">
        <is>
          <t>Y1</t>
        </is>
      </c>
      <c r="D37" s="8" t="inlineStr">
        <is>
          <t>Y2</t>
        </is>
      </c>
      <c r="E37" s="8" t="inlineStr">
        <is>
          <t>Y3</t>
        </is>
      </c>
      <c r="F37" s="8" t="inlineStr">
        <is>
          <t>Y4</t>
        </is>
      </c>
      <c r="G37" s="8" t="inlineStr">
        <is>
          <t>Y5</t>
        </is>
      </c>
    </row>
    <row r="38">
      <c r="B38" s="4" t="inlineStr">
        <is>
          <t>Total headcount (workers)</t>
        </is>
      </c>
      <c r="C38" s="15" t="n">
        <v>6</v>
      </c>
      <c r="D38" s="15" t="n">
        <v>9</v>
      </c>
      <c r="E38" s="15" t="n">
        <v>13</v>
      </c>
      <c r="F38" s="15" t="n">
        <v>18</v>
      </c>
      <c r="G38" s="15" t="n">
        <v>24</v>
      </c>
    </row>
    <row r="39">
      <c r="B39" s="4" t="inlineStr">
        <is>
          <t>AI-agent share of headcount</t>
        </is>
      </c>
      <c r="C39" s="5" t="n">
        <v>0.5</v>
      </c>
      <c r="D39" s="5" t="n">
        <v>0.5</v>
      </c>
      <c r="E39" s="5" t="n">
        <v>0.5</v>
      </c>
      <c r="F39" s="5" t="n">
        <v>0.5</v>
      </c>
      <c r="G39" s="5" t="n">
        <v>0.5</v>
      </c>
    </row>
    <row r="40">
      <c r="B40" s="9" t="inlineStr">
        <is>
          <t>Human FTEs</t>
        </is>
      </c>
      <c r="C40" s="17">
        <f>C38*(1-C39)</f>
        <v/>
      </c>
      <c r="D40" s="17">
        <f>D38*(1-D39)</f>
        <v/>
      </c>
      <c r="E40" s="17">
        <f>E38*(1-E39)</f>
        <v/>
      </c>
      <c r="F40" s="17">
        <f>F38*(1-F39)</f>
        <v/>
      </c>
      <c r="G40" s="17">
        <f>G38*(1-G39)</f>
        <v/>
      </c>
    </row>
    <row r="41">
      <c r="B41" s="9" t="inlineStr">
        <is>
          <t>AI agents</t>
        </is>
      </c>
      <c r="C41" s="17">
        <f>C38*C39</f>
        <v/>
      </c>
      <c r="D41" s="17">
        <f>D38*D39</f>
        <v/>
      </c>
      <c r="E41" s="17">
        <f>E38*E39</f>
        <v/>
      </c>
      <c r="F41" s="17">
        <f>F38*F39</f>
        <v/>
      </c>
      <c r="G41" s="17">
        <f>G38*G39</f>
        <v/>
      </c>
    </row>
    <row r="42">
      <c r="B42" s="4" t="inlineStr">
        <is>
          <t>Human fully-loaded cost / FTE (Rm/yr)</t>
        </is>
      </c>
      <c r="C42" s="7" t="n">
        <v>0.7</v>
      </c>
      <c r="D42" s="7" t="n">
        <v>0.722</v>
      </c>
      <c r="E42" s="7" t="n">
        <v>0.738</v>
      </c>
      <c r="F42" s="7" t="n">
        <v>0.761</v>
      </c>
      <c r="G42" s="7" t="n">
        <v>0.779</v>
      </c>
    </row>
    <row r="43">
      <c r="B43" s="4" t="inlineStr">
        <is>
          <t>AI-agent run cost each (Rm/yr)</t>
        </is>
      </c>
      <c r="C43" s="7" t="n">
        <v>0.15</v>
      </c>
      <c r="D43" s="7" t="n">
        <v>0.15</v>
      </c>
      <c r="E43" s="7" t="n">
        <v>0.15</v>
      </c>
      <c r="F43" s="7" t="n">
        <v>0.15</v>
      </c>
      <c r="G43" s="7" t="n">
        <v>0.15</v>
      </c>
    </row>
    <row r="44">
      <c r="B44" s="13" t="inlineStr">
        <is>
          <t>Payroll + AI agents (Rm)</t>
        </is>
      </c>
      <c r="C44" s="18">
        <f>C40*C42+C41*C43</f>
        <v/>
      </c>
      <c r="D44" s="18">
        <f>D40*D42+D41*D43</f>
        <v/>
      </c>
      <c r="E44" s="18">
        <f>E40*E42+E41*E43</f>
        <v/>
      </c>
      <c r="F44" s="18">
        <f>F40*F42+F41*F43</f>
        <v/>
      </c>
      <c r="G44" s="18">
        <f>G40*G42+G41*G43</f>
        <v/>
      </c>
    </row>
    <row r="45">
      <c r="B45" s="4" t="inlineStr">
        <is>
          <t>Marketing (Rm)</t>
        </is>
      </c>
      <c r="C45" s="7" t="n">
        <v>0.5</v>
      </c>
      <c r="D45" s="7" t="n">
        <v>1.2</v>
      </c>
      <c r="E45" s="7" t="n">
        <v>2.5</v>
      </c>
      <c r="F45" s="7" t="n">
        <v>4</v>
      </c>
      <c r="G45" s="7" t="n">
        <v>5.5</v>
      </c>
    </row>
    <row r="46">
      <c r="B46" s="4" t="inlineStr">
        <is>
          <t>Tech &amp; tools (Rm)</t>
        </is>
      </c>
      <c r="C46" s="7" t="n">
        <v>0.5</v>
      </c>
      <c r="D46" s="7" t="n">
        <v>0.8</v>
      </c>
      <c r="E46" s="7" t="n">
        <v>1.2</v>
      </c>
      <c r="F46" s="7" t="n">
        <v>1.6</v>
      </c>
      <c r="G46" s="7" t="n">
        <v>2.2</v>
      </c>
    </row>
    <row r="47">
      <c r="B47" s="4" t="inlineStr">
        <is>
          <t>Legal / compliance / insurance (Rm)</t>
        </is>
      </c>
      <c r="C47" s="7" t="n">
        <v>0.6</v>
      </c>
      <c r="D47" s="7" t="n">
        <v>0.9</v>
      </c>
      <c r="E47" s="7" t="n">
        <v>1.2</v>
      </c>
      <c r="F47" s="7" t="n">
        <v>1.6</v>
      </c>
      <c r="G47" s="7" t="n">
        <v>2</v>
      </c>
    </row>
    <row r="48">
      <c r="B48" s="4" t="inlineStr">
        <is>
          <t>G&amp;A / office / other (Rm)</t>
        </is>
      </c>
      <c r="C48" s="7" t="n">
        <v>0.5</v>
      </c>
      <c r="D48" s="7" t="n">
        <v>0.8</v>
      </c>
      <c r="E48" s="7" t="n">
        <v>1.2</v>
      </c>
      <c r="F48" s="7" t="n">
        <v>1.8</v>
      </c>
      <c r="G48" s="7" t="n">
        <v>2.4</v>
      </c>
    </row>
    <row r="49">
      <c r="B49" s="13" t="inlineStr">
        <is>
          <t>Total opex — BASE (Rm)</t>
        </is>
      </c>
      <c r="C49" s="18">
        <f>SUM(C44:C48)</f>
        <v/>
      </c>
      <c r="D49" s="18">
        <f>SUM(D44:D48)</f>
        <v/>
      </c>
      <c r="E49" s="18">
        <f>SUM(E44:E48)</f>
        <v/>
      </c>
      <c r="F49" s="18">
        <f>SUM(F44:F48)</f>
        <v/>
      </c>
      <c r="G49" s="18">
        <f>SUM(G44:G48)</f>
        <v/>
      </c>
    </row>
    <row r="51">
      <c r="B51" s="3" t="inlineStr">
        <is>
          <t>OPEX SCALING BY SCENARIO</t>
        </is>
      </c>
      <c r="C51" s="3" t="n"/>
      <c r="D51" s="3" t="n"/>
      <c r="E51" s="3" t="n"/>
      <c r="F51" s="3" t="n"/>
      <c r="G51" s="3" t="n"/>
      <c r="H51" s="3" t="n"/>
    </row>
    <row r="52">
      <c r="B52" s="4" t="inlineStr">
        <is>
          <t>Conservative</t>
        </is>
      </c>
      <c r="C52" s="16" t="n">
        <v>0.72</v>
      </c>
    </row>
    <row r="53">
      <c r="B53" s="4" t="inlineStr">
        <is>
          <t>Base</t>
        </is>
      </c>
      <c r="C53" s="16" t="n">
        <v>1</v>
      </c>
    </row>
    <row r="54">
      <c r="B54" s="4" t="inlineStr">
        <is>
          <t>Aggressive</t>
        </is>
      </c>
      <c r="C54" s="16" t="n">
        <v>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65F46"/>
    <outlinePr summaryBelow="1" summaryRight="1"/>
    <pageSetUpPr/>
  </sheetPr>
  <dimension ref="B1:G18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Base Case P&amp;L  (Rm unless noted)</t>
        </is>
      </c>
    </row>
    <row r="3">
      <c r="C3" s="8" t="inlineStr">
        <is>
          <t>Y1</t>
        </is>
      </c>
      <c r="D3" s="8" t="inlineStr">
        <is>
          <t>Y2</t>
        </is>
      </c>
      <c r="E3" s="8" t="inlineStr">
        <is>
          <t>Y3</t>
        </is>
      </c>
      <c r="F3" s="8" t="inlineStr">
        <is>
          <t>Y4</t>
        </is>
      </c>
      <c r="G3" s="8" t="inlineStr">
        <is>
          <t>Y5</t>
        </is>
      </c>
    </row>
    <row r="4">
      <c r="B4" s="19" t="inlineStr">
        <is>
          <t>Registered deals</t>
        </is>
      </c>
      <c r="C4" s="20">
        <f>Assumptions!C28</f>
        <v/>
      </c>
      <c r="D4" s="20">
        <f>Assumptions!D28</f>
        <v/>
      </c>
      <c r="E4" s="20">
        <f>Assumptions!E28</f>
        <v/>
      </c>
      <c r="F4" s="20">
        <f>Assumptions!F28</f>
        <v/>
      </c>
      <c r="G4" s="20">
        <f>Assumptions!G28</f>
        <v/>
      </c>
    </row>
    <row r="5">
      <c r="B5" s="19" t="inlineStr">
        <is>
          <t>Revenue per deal (R)</t>
        </is>
      </c>
      <c r="C5" s="21">
        <f>Assumptions!C23*Assumptions!$C$33</f>
        <v/>
      </c>
      <c r="D5" s="21">
        <f>Assumptions!D23*Assumptions!$C$33</f>
        <v/>
      </c>
      <c r="E5" s="21">
        <f>Assumptions!E23*Assumptions!$C$33</f>
        <v/>
      </c>
      <c r="F5" s="21">
        <f>Assumptions!F23*Assumptions!$C$33</f>
        <v/>
      </c>
      <c r="G5" s="21">
        <f>Assumptions!G23*Assumptions!$C$33</f>
        <v/>
      </c>
    </row>
    <row r="6">
      <c r="B6" s="22" t="inlineStr">
        <is>
          <t>Revenue</t>
        </is>
      </c>
      <c r="C6" s="23">
        <f>C4*C5/1000000</f>
        <v/>
      </c>
      <c r="D6" s="23">
        <f>D4*D5/1000000</f>
        <v/>
      </c>
      <c r="E6" s="23">
        <f>E4*E5/1000000</f>
        <v/>
      </c>
      <c r="F6" s="23">
        <f>F4*F5/1000000</f>
        <v/>
      </c>
      <c r="G6" s="23">
        <f>G4*G5/1000000</f>
        <v/>
      </c>
    </row>
    <row r="7">
      <c r="B7" s="19" t="inlineStr">
        <is>
          <t>COGS</t>
        </is>
      </c>
      <c r="C7" s="24">
        <f>-C6*(1-Assumptions!$C$7)</f>
        <v/>
      </c>
      <c r="D7" s="24">
        <f>-D6*(1-Assumptions!$C$7)</f>
        <v/>
      </c>
      <c r="E7" s="24">
        <f>-E6*(1-Assumptions!$C$7)</f>
        <v/>
      </c>
      <c r="F7" s="24">
        <f>-F6*(1-Assumptions!$C$7)</f>
        <v/>
      </c>
      <c r="G7" s="24">
        <f>-G6*(1-Assumptions!$C$7)</f>
        <v/>
      </c>
    </row>
    <row r="8">
      <c r="B8" s="25" t="inlineStr">
        <is>
          <t>Gross profit</t>
        </is>
      </c>
      <c r="C8" s="26">
        <f>C6*Assumptions!$C$7</f>
        <v/>
      </c>
      <c r="D8" s="26">
        <f>D6*Assumptions!$C$7</f>
        <v/>
      </c>
      <c r="E8" s="26">
        <f>E6*Assumptions!$C$7</f>
        <v/>
      </c>
      <c r="F8" s="26">
        <f>F6*Assumptions!$C$7</f>
        <v/>
      </c>
      <c r="G8" s="26">
        <f>G6*Assumptions!$C$7</f>
        <v/>
      </c>
    </row>
    <row r="9">
      <c r="B9" s="19" t="inlineStr">
        <is>
          <t>Gross margin</t>
        </is>
      </c>
      <c r="C9" s="27">
        <f>IF(C6=0,"",C8/C6)</f>
        <v/>
      </c>
      <c r="D9" s="27">
        <f>IF(D6=0,"",D8/D6)</f>
        <v/>
      </c>
      <c r="E9" s="27">
        <f>IF(E6=0,"",E8/E6)</f>
        <v/>
      </c>
      <c r="F9" s="27">
        <f>IF(F6=0,"",F8/F6)</f>
        <v/>
      </c>
      <c r="G9" s="27">
        <f>IF(G6=0,"",G8/G6)</f>
        <v/>
      </c>
    </row>
    <row r="10">
      <c r="B10" s="19" t="inlineStr">
        <is>
          <t>Payroll + AI agents</t>
        </is>
      </c>
      <c r="C10" s="24">
        <f>Assumptions!C44</f>
        <v/>
      </c>
      <c r="D10" s="24">
        <f>Assumptions!D44</f>
        <v/>
      </c>
      <c r="E10" s="24">
        <f>Assumptions!E44</f>
        <v/>
      </c>
      <c r="F10" s="24">
        <f>Assumptions!F44</f>
        <v/>
      </c>
      <c r="G10" s="24">
        <f>Assumptions!G44</f>
        <v/>
      </c>
    </row>
    <row r="11">
      <c r="B11" s="19" t="inlineStr">
        <is>
          <t>Marketing</t>
        </is>
      </c>
      <c r="C11" s="24">
        <f>Assumptions!C45</f>
        <v/>
      </c>
      <c r="D11" s="24">
        <f>Assumptions!D45</f>
        <v/>
      </c>
      <c r="E11" s="24">
        <f>Assumptions!E45</f>
        <v/>
      </c>
      <c r="F11" s="24">
        <f>Assumptions!F45</f>
        <v/>
      </c>
      <c r="G11" s="24">
        <f>Assumptions!G45</f>
        <v/>
      </c>
    </row>
    <row r="12">
      <c r="B12" s="19" t="inlineStr">
        <is>
          <t>Tech &amp; tools</t>
        </is>
      </c>
      <c r="C12" s="24">
        <f>Assumptions!C46</f>
        <v/>
      </c>
      <c r="D12" s="24">
        <f>Assumptions!D46</f>
        <v/>
      </c>
      <c r="E12" s="24">
        <f>Assumptions!E46</f>
        <v/>
      </c>
      <c r="F12" s="24">
        <f>Assumptions!F46</f>
        <v/>
      </c>
      <c r="G12" s="24">
        <f>Assumptions!G46</f>
        <v/>
      </c>
    </row>
    <row r="13">
      <c r="B13" s="19" t="inlineStr">
        <is>
          <t>Legal / compliance / insurance</t>
        </is>
      </c>
      <c r="C13" s="24">
        <f>Assumptions!C47</f>
        <v/>
      </c>
      <c r="D13" s="24">
        <f>Assumptions!D47</f>
        <v/>
      </c>
      <c r="E13" s="24">
        <f>Assumptions!E47</f>
        <v/>
      </c>
      <c r="F13" s="24">
        <f>Assumptions!F47</f>
        <v/>
      </c>
      <c r="G13" s="24">
        <f>Assumptions!G47</f>
        <v/>
      </c>
    </row>
    <row r="14">
      <c r="B14" s="19" t="inlineStr">
        <is>
          <t>G&amp;A / office / other</t>
        </is>
      </c>
      <c r="C14" s="24">
        <f>Assumptions!C48</f>
        <v/>
      </c>
      <c r="D14" s="24">
        <f>Assumptions!D48</f>
        <v/>
      </c>
      <c r="E14" s="24">
        <f>Assumptions!E48</f>
        <v/>
      </c>
      <c r="F14" s="24">
        <f>Assumptions!F48</f>
        <v/>
      </c>
      <c r="G14" s="24">
        <f>Assumptions!G48</f>
        <v/>
      </c>
    </row>
    <row r="15">
      <c r="B15" s="25" t="inlineStr">
        <is>
          <t>Total operating expenses</t>
        </is>
      </c>
      <c r="C15" s="26">
        <f>SUM(C10:C14)</f>
        <v/>
      </c>
      <c r="D15" s="26">
        <f>SUM(D10:D14)</f>
        <v/>
      </c>
      <c r="E15" s="26">
        <f>SUM(E10:E14)</f>
        <v/>
      </c>
      <c r="F15" s="26">
        <f>SUM(F10:F14)</f>
        <v/>
      </c>
      <c r="G15" s="26">
        <f>SUM(G10:G14)</f>
        <v/>
      </c>
    </row>
    <row r="16">
      <c r="B16" s="22" t="inlineStr">
        <is>
          <t>EBITDA</t>
        </is>
      </c>
      <c r="C16" s="23">
        <f>C8-C15</f>
        <v/>
      </c>
      <c r="D16" s="23">
        <f>D8-D15</f>
        <v/>
      </c>
      <c r="E16" s="23">
        <f>E8-E15</f>
        <v/>
      </c>
      <c r="F16" s="23">
        <f>F8-F15</f>
        <v/>
      </c>
      <c r="G16" s="23">
        <f>G8-G15</f>
        <v/>
      </c>
    </row>
    <row r="17">
      <c r="B17" s="19" t="inlineStr">
        <is>
          <t>EBITDA margin</t>
        </is>
      </c>
      <c r="C17" s="27">
        <f>IF(C6=0,"",C16/C6)</f>
        <v/>
      </c>
      <c r="D17" s="27">
        <f>IF(D6=0,"",D16/D6)</f>
        <v/>
      </c>
      <c r="E17" s="27">
        <f>IF(E6=0,"",E16/E6)</f>
        <v/>
      </c>
      <c r="F17" s="27">
        <f>IF(F6=0,"",F16/F6)</f>
        <v/>
      </c>
      <c r="G17" s="27">
        <f>IF(G6=0,"",G16/G6)</f>
        <v/>
      </c>
    </row>
    <row r="18">
      <c r="B18" s="25" t="inlineStr">
        <is>
          <t>Cumulative EBITDA (cash proxy)</t>
        </is>
      </c>
      <c r="C18" s="26">
        <f>C16</f>
        <v/>
      </c>
      <c r="D18" s="26">
        <f>C18+D16</f>
        <v/>
      </c>
      <c r="E18" s="26">
        <f>D18+E16</f>
        <v/>
      </c>
      <c r="F18" s="26">
        <f>E18+F16</f>
        <v/>
      </c>
      <c r="G18" s="26">
        <f>F18+G16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65F46"/>
    <outlinePr summaryBelow="1" summaryRight="1"/>
    <pageSetUpPr/>
  </sheetPr>
  <dimension ref="B1:H60"/>
  <sheetViews>
    <sheetView showGridLines="0" workbookViewId="0">
      <selection activeCell="A1" sqref="A1"/>
    </sheetView>
  </sheetViews>
  <sheetFormatPr baseColWidth="8" defaultRowHeight="15"/>
  <cols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inlineStr">
        <is>
          <t>Scenario Comparison  (Rm)</t>
        </is>
      </c>
    </row>
    <row r="3">
      <c r="B3" s="3" t="inlineStr">
        <is>
          <t>CONSERVATIVE</t>
        </is>
      </c>
      <c r="C3" s="3" t="n"/>
      <c r="D3" s="3" t="n"/>
      <c r="E3" s="3" t="n"/>
      <c r="F3" s="3" t="n"/>
      <c r="G3" s="3" t="n"/>
      <c r="H3" s="3" t="n"/>
    </row>
    <row r="4">
      <c r="C4" s="8" t="inlineStr">
        <is>
          <t>Y1</t>
        </is>
      </c>
      <c r="D4" s="8" t="inlineStr">
        <is>
          <t>Y2</t>
        </is>
      </c>
      <c r="E4" s="8" t="inlineStr">
        <is>
          <t>Y3</t>
        </is>
      </c>
      <c r="F4" s="8" t="inlineStr">
        <is>
          <t>Y4</t>
        </is>
      </c>
      <c r="G4" s="8" t="inlineStr">
        <is>
          <t>Y5</t>
        </is>
      </c>
    </row>
    <row r="5">
      <c r="B5" s="19" t="inlineStr">
        <is>
          <t>Revenue</t>
        </is>
      </c>
      <c r="C5" s="24">
        <f>Assumptions!C27*Assumptions!C23*Assumptions!$C$32/1000000</f>
        <v/>
      </c>
      <c r="D5" s="24">
        <f>Assumptions!D27*Assumptions!D23*Assumptions!$C$32/1000000</f>
        <v/>
      </c>
      <c r="E5" s="24">
        <f>Assumptions!E27*Assumptions!E23*Assumptions!$C$32/1000000</f>
        <v/>
      </c>
      <c r="F5" s="24">
        <f>Assumptions!F27*Assumptions!F23*Assumptions!$C$32/1000000</f>
        <v/>
      </c>
      <c r="G5" s="24">
        <f>Assumptions!G27*Assumptions!G23*Assumptions!$C$32/1000000</f>
        <v/>
      </c>
    </row>
    <row r="6">
      <c r="B6" s="19" t="inlineStr">
        <is>
          <t>Gross profit</t>
        </is>
      </c>
      <c r="C6" s="24">
        <f>C5*Assumptions!$C$7</f>
        <v/>
      </c>
      <c r="D6" s="24">
        <f>D5*Assumptions!$C$7</f>
        <v/>
      </c>
      <c r="E6" s="24">
        <f>E5*Assumptions!$C$7</f>
        <v/>
      </c>
      <c r="F6" s="24">
        <f>F5*Assumptions!$C$7</f>
        <v/>
      </c>
      <c r="G6" s="24">
        <f>G5*Assumptions!$C$7</f>
        <v/>
      </c>
    </row>
    <row r="7">
      <c r="B7" s="19" t="inlineStr">
        <is>
          <t>Operating expenses</t>
        </is>
      </c>
      <c r="C7" s="24">
        <f>Assumptions!C49*Assumptions!$C$52</f>
        <v/>
      </c>
      <c r="D7" s="24">
        <f>Assumptions!D49*Assumptions!$C$52</f>
        <v/>
      </c>
      <c r="E7" s="24">
        <f>Assumptions!E49*Assumptions!$C$52</f>
        <v/>
      </c>
      <c r="F7" s="24">
        <f>Assumptions!F49*Assumptions!$C$52</f>
        <v/>
      </c>
      <c r="G7" s="24">
        <f>Assumptions!G49*Assumptions!$C$52</f>
        <v/>
      </c>
    </row>
    <row r="8">
      <c r="B8" s="25" t="inlineStr">
        <is>
          <t>EBITDA</t>
        </is>
      </c>
      <c r="C8" s="26">
        <f>C6-C7</f>
        <v/>
      </c>
      <c r="D8" s="26">
        <f>D6-D7</f>
        <v/>
      </c>
      <c r="E8" s="26">
        <f>E6-E7</f>
        <v/>
      </c>
      <c r="F8" s="26">
        <f>F6-F7</f>
        <v/>
      </c>
      <c r="G8" s="26">
        <f>G6-G7</f>
        <v/>
      </c>
    </row>
    <row r="9">
      <c r="B9" s="19" t="inlineStr">
        <is>
          <t>Cumulative EBITDA</t>
        </is>
      </c>
      <c r="C9" s="24">
        <f>C8</f>
        <v/>
      </c>
      <c r="D9" s="24">
        <f>C9+D8</f>
        <v/>
      </c>
      <c r="E9" s="24">
        <f>D9+E8</f>
        <v/>
      </c>
      <c r="F9" s="24">
        <f>E9+F8</f>
        <v/>
      </c>
      <c r="G9" s="24">
        <f>F9+G8</f>
        <v/>
      </c>
    </row>
    <row r="10" hidden="1">
      <c r="B10" s="19" t="inlineStr">
        <is>
          <t>profit-year helper</t>
        </is>
      </c>
      <c r="C10" s="20">
        <f>IF(C8&gt;0,C$60,99)</f>
        <v/>
      </c>
      <c r="D10" s="20">
        <f>IF(D8&gt;0,D$60,99)</f>
        <v/>
      </c>
      <c r="E10" s="20">
        <f>IF(E8&gt;0,E$60,99)</f>
        <v/>
      </c>
      <c r="F10" s="20">
        <f>IF(F8&gt;0,F$60,99)</f>
        <v/>
      </c>
      <c r="G10" s="20">
        <f>IF(G8&gt;0,G$60,99)</f>
        <v/>
      </c>
    </row>
    <row r="13">
      <c r="B13" s="3" t="inlineStr">
        <is>
          <t>BASE</t>
        </is>
      </c>
      <c r="C13" s="3" t="n"/>
      <c r="D13" s="3" t="n"/>
      <c r="E13" s="3" t="n"/>
      <c r="F13" s="3" t="n"/>
      <c r="G13" s="3" t="n"/>
      <c r="H13" s="3" t="n"/>
    </row>
    <row r="14">
      <c r="C14" s="8" t="inlineStr">
        <is>
          <t>Y1</t>
        </is>
      </c>
      <c r="D14" s="8" t="inlineStr">
        <is>
          <t>Y2</t>
        </is>
      </c>
      <c r="E14" s="8" t="inlineStr">
        <is>
          <t>Y3</t>
        </is>
      </c>
      <c r="F14" s="8" t="inlineStr">
        <is>
          <t>Y4</t>
        </is>
      </c>
      <c r="G14" s="8" t="inlineStr">
        <is>
          <t>Y5</t>
        </is>
      </c>
    </row>
    <row r="15">
      <c r="B15" s="19" t="inlineStr">
        <is>
          <t>Revenue</t>
        </is>
      </c>
      <c r="C15" s="24">
        <f>Assumptions!C28*Assumptions!C23*Assumptions!$C$33/1000000</f>
        <v/>
      </c>
      <c r="D15" s="24">
        <f>Assumptions!D28*Assumptions!D23*Assumptions!$C$33/1000000</f>
        <v/>
      </c>
      <c r="E15" s="24">
        <f>Assumptions!E28*Assumptions!E23*Assumptions!$C$33/1000000</f>
        <v/>
      </c>
      <c r="F15" s="24">
        <f>Assumptions!F28*Assumptions!F23*Assumptions!$C$33/1000000</f>
        <v/>
      </c>
      <c r="G15" s="24">
        <f>Assumptions!G28*Assumptions!G23*Assumptions!$C$33/1000000</f>
        <v/>
      </c>
    </row>
    <row r="16">
      <c r="B16" s="19" t="inlineStr">
        <is>
          <t>Gross profit</t>
        </is>
      </c>
      <c r="C16" s="24">
        <f>C15*Assumptions!$C$7</f>
        <v/>
      </c>
      <c r="D16" s="24">
        <f>D15*Assumptions!$C$7</f>
        <v/>
      </c>
      <c r="E16" s="24">
        <f>E15*Assumptions!$C$7</f>
        <v/>
      </c>
      <c r="F16" s="24">
        <f>F15*Assumptions!$C$7</f>
        <v/>
      </c>
      <c r="G16" s="24">
        <f>G15*Assumptions!$C$7</f>
        <v/>
      </c>
    </row>
    <row r="17">
      <c r="B17" s="19" t="inlineStr">
        <is>
          <t>Operating expenses</t>
        </is>
      </c>
      <c r="C17" s="24">
        <f>Assumptions!C49*Assumptions!$C$53</f>
        <v/>
      </c>
      <c r="D17" s="24">
        <f>Assumptions!D49*Assumptions!$C$53</f>
        <v/>
      </c>
      <c r="E17" s="24">
        <f>Assumptions!E49*Assumptions!$C$53</f>
        <v/>
      </c>
      <c r="F17" s="24">
        <f>Assumptions!F49*Assumptions!$C$53</f>
        <v/>
      </c>
      <c r="G17" s="24">
        <f>Assumptions!G49*Assumptions!$C$53</f>
        <v/>
      </c>
    </row>
    <row r="18">
      <c r="B18" s="25" t="inlineStr">
        <is>
          <t>EBITDA</t>
        </is>
      </c>
      <c r="C18" s="26">
        <f>C16-C17</f>
        <v/>
      </c>
      <c r="D18" s="26">
        <f>D16-D17</f>
        <v/>
      </c>
      <c r="E18" s="26">
        <f>E16-E17</f>
        <v/>
      </c>
      <c r="F18" s="26">
        <f>F16-F17</f>
        <v/>
      </c>
      <c r="G18" s="26">
        <f>G16-G17</f>
        <v/>
      </c>
    </row>
    <row r="19">
      <c r="B19" s="19" t="inlineStr">
        <is>
          <t>Cumulative EBITDA</t>
        </is>
      </c>
      <c r="C19" s="24">
        <f>C18</f>
        <v/>
      </c>
      <c r="D19" s="24">
        <f>C19+D18</f>
        <v/>
      </c>
      <c r="E19" s="24">
        <f>D19+E18</f>
        <v/>
      </c>
      <c r="F19" s="24">
        <f>E19+F18</f>
        <v/>
      </c>
      <c r="G19" s="24">
        <f>F19+G18</f>
        <v/>
      </c>
    </row>
    <row r="20" hidden="1">
      <c r="B20" s="19" t="inlineStr">
        <is>
          <t>profit-year helper</t>
        </is>
      </c>
      <c r="C20" s="20">
        <f>IF(C18&gt;0,C$60,99)</f>
        <v/>
      </c>
      <c r="D20" s="20">
        <f>IF(D18&gt;0,D$60,99)</f>
        <v/>
      </c>
      <c r="E20" s="20">
        <f>IF(E18&gt;0,E$60,99)</f>
        <v/>
      </c>
      <c r="F20" s="20">
        <f>IF(F18&gt;0,F$60,99)</f>
        <v/>
      </c>
      <c r="G20" s="20">
        <f>IF(G18&gt;0,G$60,99)</f>
        <v/>
      </c>
    </row>
    <row r="23">
      <c r="B23" s="3" t="inlineStr">
        <is>
          <t>AGGRESSIVE</t>
        </is>
      </c>
      <c r="C23" s="3" t="n"/>
      <c r="D23" s="3" t="n"/>
      <c r="E23" s="3" t="n"/>
      <c r="F23" s="3" t="n"/>
      <c r="G23" s="3" t="n"/>
      <c r="H23" s="3" t="n"/>
    </row>
    <row r="24">
      <c r="C24" s="8" t="inlineStr">
        <is>
          <t>Y1</t>
        </is>
      </c>
      <c r="D24" s="8" t="inlineStr">
        <is>
          <t>Y2</t>
        </is>
      </c>
      <c r="E24" s="8" t="inlineStr">
        <is>
          <t>Y3</t>
        </is>
      </c>
      <c r="F24" s="8" t="inlineStr">
        <is>
          <t>Y4</t>
        </is>
      </c>
      <c r="G24" s="8" t="inlineStr">
        <is>
          <t>Y5</t>
        </is>
      </c>
    </row>
    <row r="25">
      <c r="B25" s="19" t="inlineStr">
        <is>
          <t>Revenue</t>
        </is>
      </c>
      <c r="C25" s="24">
        <f>Assumptions!C29*Assumptions!C23*Assumptions!$C$34/1000000</f>
        <v/>
      </c>
      <c r="D25" s="24">
        <f>Assumptions!D29*Assumptions!D23*Assumptions!$C$34/1000000</f>
        <v/>
      </c>
      <c r="E25" s="24">
        <f>Assumptions!E29*Assumptions!E23*Assumptions!$C$34/1000000</f>
        <v/>
      </c>
      <c r="F25" s="24">
        <f>Assumptions!F29*Assumptions!F23*Assumptions!$C$34/1000000</f>
        <v/>
      </c>
      <c r="G25" s="24">
        <f>Assumptions!G29*Assumptions!G23*Assumptions!$C$34/1000000</f>
        <v/>
      </c>
    </row>
    <row r="26">
      <c r="B26" s="19" t="inlineStr">
        <is>
          <t>Gross profit</t>
        </is>
      </c>
      <c r="C26" s="24">
        <f>C25*Assumptions!$C$7</f>
        <v/>
      </c>
      <c r="D26" s="24">
        <f>D25*Assumptions!$C$7</f>
        <v/>
      </c>
      <c r="E26" s="24">
        <f>E25*Assumptions!$C$7</f>
        <v/>
      </c>
      <c r="F26" s="24">
        <f>F25*Assumptions!$C$7</f>
        <v/>
      </c>
      <c r="G26" s="24">
        <f>G25*Assumptions!$C$7</f>
        <v/>
      </c>
    </row>
    <row r="27">
      <c r="B27" s="19" t="inlineStr">
        <is>
          <t>Operating expenses</t>
        </is>
      </c>
      <c r="C27" s="24">
        <f>Assumptions!C49*Assumptions!$C$54</f>
        <v/>
      </c>
      <c r="D27" s="24">
        <f>Assumptions!D49*Assumptions!$C$54</f>
        <v/>
      </c>
      <c r="E27" s="24">
        <f>Assumptions!E49*Assumptions!$C$54</f>
        <v/>
      </c>
      <c r="F27" s="24">
        <f>Assumptions!F49*Assumptions!$C$54</f>
        <v/>
      </c>
      <c r="G27" s="24">
        <f>Assumptions!G49*Assumptions!$C$54</f>
        <v/>
      </c>
    </row>
    <row r="28">
      <c r="B28" s="25" t="inlineStr">
        <is>
          <t>EBITDA</t>
        </is>
      </c>
      <c r="C28" s="26">
        <f>C26-C27</f>
        <v/>
      </c>
      <c r="D28" s="26">
        <f>D26-D27</f>
        <v/>
      </c>
      <c r="E28" s="26">
        <f>E26-E27</f>
        <v/>
      </c>
      <c r="F28" s="26">
        <f>F26-F27</f>
        <v/>
      </c>
      <c r="G28" s="26">
        <f>G26-G27</f>
        <v/>
      </c>
    </row>
    <row r="29">
      <c r="B29" s="19" t="inlineStr">
        <is>
          <t>Cumulative EBITDA</t>
        </is>
      </c>
      <c r="C29" s="24">
        <f>C28</f>
        <v/>
      </c>
      <c r="D29" s="24">
        <f>C29+D28</f>
        <v/>
      </c>
      <c r="E29" s="24">
        <f>D29+E28</f>
        <v/>
      </c>
      <c r="F29" s="24">
        <f>E29+F28</f>
        <v/>
      </c>
      <c r="G29" s="24">
        <f>F29+G28</f>
        <v/>
      </c>
    </row>
    <row r="30" hidden="1">
      <c r="B30" s="19" t="inlineStr">
        <is>
          <t>profit-year helper</t>
        </is>
      </c>
      <c r="C30" s="20">
        <f>IF(C28&gt;0,C$60,99)</f>
        <v/>
      </c>
      <c r="D30" s="20">
        <f>IF(D28&gt;0,D$60,99)</f>
        <v/>
      </c>
      <c r="E30" s="20">
        <f>IF(E28&gt;0,E$60,99)</f>
        <v/>
      </c>
      <c r="F30" s="20">
        <f>IF(F28&gt;0,F$60,99)</f>
        <v/>
      </c>
      <c r="G30" s="20">
        <f>IF(G28&gt;0,G$60,99)</f>
        <v/>
      </c>
    </row>
    <row r="34">
      <c r="B34" s="3" t="inlineStr">
        <is>
          <t>SUMMARY</t>
        </is>
      </c>
      <c r="C34" s="3" t="n"/>
      <c r="D34" s="3" t="n"/>
      <c r="E34" s="3" t="n"/>
      <c r="F34" s="3" t="n"/>
      <c r="G34" s="3" t="n"/>
      <c r="H34" s="3" t="n"/>
    </row>
    <row r="35">
      <c r="C35" s="8" t="inlineStr">
        <is>
          <t>Conservative</t>
        </is>
      </c>
      <c r="D35" s="8" t="inlineStr">
        <is>
          <t>Base</t>
        </is>
      </c>
      <c r="E35" s="8" t="inlineStr">
        <is>
          <t>Aggressive</t>
        </is>
      </c>
    </row>
    <row r="36">
      <c r="B36" s="25" t="inlineStr">
        <is>
          <t>Y5 revenue</t>
        </is>
      </c>
      <c r="C36" s="26">
        <f>G5</f>
        <v/>
      </c>
      <c r="D36" s="26">
        <f>G15</f>
        <v/>
      </c>
      <c r="E36" s="26">
        <f>G25</f>
        <v/>
      </c>
    </row>
    <row r="37">
      <c r="B37" s="25" t="inlineStr">
        <is>
          <t>Y5 EBITDA</t>
        </is>
      </c>
      <c r="C37" s="26">
        <f>G8</f>
        <v/>
      </c>
      <c r="D37" s="26">
        <f>G18</f>
        <v/>
      </c>
      <c r="E37" s="26">
        <f>G28</f>
        <v/>
      </c>
    </row>
    <row r="38">
      <c r="B38" s="19" t="inlineStr">
        <is>
          <t>Y5 EBITDA margin</t>
        </is>
      </c>
      <c r="C38" s="27">
        <f>IF(G5=0,"",G8/G5)</f>
        <v/>
      </c>
      <c r="D38" s="27">
        <f>IF(G15=0,"",G18/G15)</f>
        <v/>
      </c>
      <c r="E38" s="27">
        <f>IF(G25=0,"",G28/G25)</f>
        <v/>
      </c>
    </row>
    <row r="39">
      <c r="B39" s="19" t="inlineStr">
        <is>
          <t>Cumulative cash low-point</t>
        </is>
      </c>
      <c r="C39" s="24">
        <f>MIN(C9:G9)</f>
        <v/>
      </c>
      <c r="D39" s="24">
        <f>MIN(C19:G19)</f>
        <v/>
      </c>
      <c r="E39" s="24">
        <f>MIN(C29:G29)</f>
        <v/>
      </c>
    </row>
    <row r="40">
      <c r="B40" s="25" t="inlineStr">
        <is>
          <t>Capital need incl. buffer</t>
        </is>
      </c>
      <c r="C40" s="26">
        <f>-MIN(C9:G9)+Assumptions!$C$11</f>
        <v/>
      </c>
      <c r="D40" s="26">
        <f>-MIN(C19:G19)+Assumptions!$C$11</f>
        <v/>
      </c>
      <c r="E40" s="26">
        <f>-MIN(C29:G29)+Assumptions!$C$11</f>
        <v/>
      </c>
    </row>
    <row r="41">
      <c r="B41" s="19" t="inlineStr">
        <is>
          <t>First EBITDA-positive year</t>
        </is>
      </c>
      <c r="C41" s="28">
        <f>"Y"&amp;MIN(C10:G10)</f>
        <v/>
      </c>
      <c r="D41" s="28">
        <f>"Y"&amp;MIN(C20:G20)</f>
        <v/>
      </c>
      <c r="E41" s="28">
        <f>"Y"&amp;MIN(C30:G30)</f>
        <v/>
      </c>
    </row>
    <row r="60" hidden="1">
      <c r="C60" t="n">
        <v>1</v>
      </c>
      <c r="D60" t="n">
        <v>2</v>
      </c>
      <c r="E60" t="n">
        <v>3</v>
      </c>
      <c r="F60" t="n">
        <v>4</v>
      </c>
      <c r="G60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B1:E27"/>
  <sheetViews>
    <sheetView showGridLines="0" workbookViewId="0">
      <selection activeCell="A1" sqref="A1"/>
    </sheetView>
  </sheetViews>
  <sheetFormatPr baseColWidth="8" defaultRowHeight="15"/>
  <cols>
    <col width="36" customWidth="1" min="2" max="2"/>
    <col width="16" customWidth="1" min="3" max="3"/>
    <col width="16" customWidth="1" min="4" max="4"/>
    <col width="16" customWidth="1" min="5" max="5"/>
  </cols>
  <sheetData>
    <row r="1">
      <c r="B1" s="1" t="inlineStr">
        <is>
          <t>Capital Requirement &amp; Valuation</t>
        </is>
      </c>
    </row>
    <row r="3">
      <c r="B3" s="3" t="inlineStr">
        <is>
          <t>CAPITAL (from Scenarios)</t>
        </is>
      </c>
      <c r="C3" s="3" t="n"/>
      <c r="D3" s="3" t="n"/>
      <c r="E3" s="3" t="n"/>
    </row>
    <row r="4">
      <c r="C4" s="29" t="inlineStr">
        <is>
          <t>Conservative</t>
        </is>
      </c>
      <c r="D4" s="29" t="inlineStr">
        <is>
          <t>Base</t>
        </is>
      </c>
      <c r="E4" s="29" t="inlineStr">
        <is>
          <t>Aggressive</t>
        </is>
      </c>
    </row>
    <row r="5">
      <c r="B5" s="25" t="inlineStr">
        <is>
          <t>Total capital to breakeven (Rm)</t>
        </is>
      </c>
      <c r="C5" s="26">
        <f>Scenarios!C40</f>
        <v/>
      </c>
      <c r="D5" s="26">
        <f>Scenarios!D40</f>
        <v/>
      </c>
      <c r="E5" s="26">
        <f>Scenarios!E40</f>
        <v/>
      </c>
    </row>
    <row r="6">
      <c r="B6" s="19" t="inlineStr">
        <is>
          <t xml:space="preserve">  in USD (m, approx)</t>
        </is>
      </c>
      <c r="C6" s="24">
        <f>C5/Assumptions!$C$8</f>
        <v/>
      </c>
      <c r="D6" s="24">
        <f>D5/Assumptions!$C$8</f>
        <v/>
      </c>
      <c r="E6" s="24">
        <f>E5/Assumptions!$C$8</f>
        <v/>
      </c>
    </row>
    <row r="8">
      <c r="B8" s="3" t="inlineStr">
        <is>
          <t>RECOMMENDED RAISE</t>
        </is>
      </c>
      <c r="C8" s="3" t="n"/>
      <c r="D8" s="3" t="n"/>
      <c r="E8" s="3" t="n"/>
    </row>
    <row r="9">
      <c r="B9" s="4" t="inlineStr">
        <is>
          <t>Seed round (Rm) — growth buffer above need</t>
        </is>
      </c>
      <c r="C9" s="7" t="n">
        <v>15</v>
      </c>
    </row>
    <row r="10">
      <c r="B10" s="19" t="inlineStr">
        <is>
          <t>Seed round (USD m approx)</t>
        </is>
      </c>
      <c r="C10" s="24">
        <f>C9/Assumptions!$C$8</f>
        <v/>
      </c>
    </row>
    <row r="12">
      <c r="B12" s="3" t="inlineStr">
        <is>
          <t>VALUATION — REVENUE MULTIPLE (Base, Y5)</t>
        </is>
      </c>
      <c r="C12" s="3" t="n"/>
      <c r="D12" s="3" t="n"/>
      <c r="E12" s="3" t="n"/>
    </row>
    <row r="13">
      <c r="C13" s="29" t="inlineStr">
        <is>
          <t>Low</t>
        </is>
      </c>
      <c r="D13" s="29" t="inlineStr">
        <is>
          <t>High</t>
        </is>
      </c>
    </row>
    <row r="14">
      <c r="B14" s="19" t="inlineStr">
        <is>
          <t>Y5 revenue (Rm)</t>
        </is>
      </c>
      <c r="C14" s="24">
        <f>Scenarios!D36</f>
        <v/>
      </c>
      <c r="D14" s="24">
        <f>Scenarios!D36</f>
        <v/>
      </c>
    </row>
    <row r="15">
      <c r="B15" s="19" t="inlineStr">
        <is>
          <t>Revenue multiple</t>
        </is>
      </c>
      <c r="C15" s="30">
        <f>Assumptions!C9</f>
        <v/>
      </c>
      <c r="D15" s="30">
        <f>Assumptions!C10</f>
        <v/>
      </c>
    </row>
    <row r="16">
      <c r="B16" s="25" t="inlineStr">
        <is>
          <t>Enterprise value (Rm)</t>
        </is>
      </c>
      <c r="C16" s="26">
        <f>C14*C15</f>
        <v/>
      </c>
      <c r="D16" s="26">
        <f>D14*D15</f>
        <v/>
      </c>
    </row>
    <row r="17">
      <c r="B17" s="19" t="inlineStr">
        <is>
          <t>Enterprise value (USD m)</t>
        </is>
      </c>
      <c r="C17" s="30">
        <f>C16/Assumptions!$C$8</f>
        <v/>
      </c>
      <c r="D17" s="30">
        <f>D16/Assumptions!$C$8</f>
        <v/>
      </c>
    </row>
    <row r="19">
      <c r="B19" s="3" t="inlineStr">
        <is>
          <t>SEED ROUND FRAMING (illustrative)</t>
        </is>
      </c>
      <c r="C19" s="3" t="n"/>
      <c r="D19" s="3" t="n"/>
      <c r="E19" s="3" t="n"/>
    </row>
    <row r="20">
      <c r="B20" s="4" t="inlineStr">
        <is>
          <t>Seed pre-money (Rm)</t>
        </is>
      </c>
      <c r="C20" s="7" t="n">
        <v>50</v>
      </c>
    </row>
    <row r="21">
      <c r="B21" s="19" t="inlineStr">
        <is>
          <t>Seed raise (Rm)</t>
        </is>
      </c>
      <c r="C21" s="24">
        <f>C9</f>
        <v/>
      </c>
    </row>
    <row r="22">
      <c r="B22" s="25" t="inlineStr">
        <is>
          <t>Seed post-money (Rm)</t>
        </is>
      </c>
      <c r="C22" s="26">
        <f>C20+C21</f>
        <v/>
      </c>
    </row>
    <row r="23">
      <c r="B23" s="19" t="inlineStr">
        <is>
          <t>New-investor stake</t>
        </is>
      </c>
      <c r="C23" s="27">
        <f>C21/C22</f>
        <v/>
      </c>
    </row>
    <row r="25">
      <c r="B25" s="3" t="inlineStr">
        <is>
          <t>AGGRESSIVE UPSIDE</t>
        </is>
      </c>
      <c r="C25" s="3" t="n"/>
      <c r="D25" s="3" t="n"/>
      <c r="E25" s="3" t="n"/>
    </row>
    <row r="26">
      <c r="B26" s="19" t="inlineStr">
        <is>
          <t>Y5 revenue (Rm)</t>
        </is>
      </c>
      <c r="C26" s="24">
        <f>Scenarios!E36</f>
        <v/>
      </c>
    </row>
    <row r="27">
      <c r="B27" s="25" t="inlineStr">
        <is>
          <t>EV @ 5x (Rm)</t>
        </is>
      </c>
      <c r="C27" s="26">
        <f>C26*5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115" customWidth="1" min="2" max="2"/>
  </cols>
  <sheetData>
    <row r="1">
      <c r="B1" s="31" t="inlineStr">
        <is>
          <t>Sold Direct — model notes &amp; sources</t>
        </is>
      </c>
    </row>
    <row r="2">
      <c r="B2" s="32" t="inlineStr"/>
    </row>
    <row r="3">
      <c r="B3" s="33" t="inlineStr">
        <is>
          <t>Strategy: prime / upper-market focus (Atlantic Seaboard, City Bowl, Southern Suburbs, Constantia; then prime JHB-north &amp; Umhlanga).</t>
        </is>
      </c>
    </row>
    <row r="4">
      <c r="B4" s="32" t="inlineStr"/>
    </row>
    <row r="5">
      <c r="B5" s="34" t="inlineStr">
        <is>
          <t>MONETISATION (every deal pays a take-rate of value):</t>
        </is>
      </c>
    </row>
    <row r="6">
      <c r="B6" s="32" t="inlineStr">
        <is>
          <t>• Free 0% tier REQUIRES a &gt;=80% bond placed with our partner bank (e.g. Nedbank) + our panel conveyancer -&gt; we earn the Nedbank kickback (% of bond).</t>
        </is>
      </c>
    </row>
    <row r="7">
      <c r="B7" s="32" t="inlineStr">
        <is>
          <t>• Otherwise a 1% facilitation fee applies on the price (cash buyers / sub-80% bonds / not using our partners) - still ~6x cheaper than 5-7% agent commission.</t>
        </is>
      </c>
    </row>
    <row r="8">
      <c r="B8" s="32" t="inlineStr">
        <is>
          <t>• Bonded-share is now a MINOR assumption: both paths monetise. Kickback rate is to be NEGOTIATED with the bank (a direct deal may exceed the ~0.5% originator sub-share).</t>
        </is>
      </c>
    </row>
    <row r="9">
      <c r="B9" s="32" t="inlineStr"/>
    </row>
    <row r="10">
      <c r="B10" s="34" t="inlineStr">
        <is>
          <t>AI-LEAN OPERATING MODEL:</t>
        </is>
      </c>
    </row>
    <row r="11">
      <c r="B11" s="32" t="inlineStr">
        <is>
          <t>• 50% of headcount are AI agents (concierge/coordination/ops), costed at ~R0.15m/yr each (LLM API + tooling + human oversight) vs ~R0.70-0.78m/yr fully-loaded human.</t>
        </is>
      </c>
    </row>
    <row r="12">
      <c r="B12" s="32" t="inlineStr">
        <is>
          <t>• This roughly halves people-cost. Flex the AI share, AI run-cost and human cost on the Assumptions tab.</t>
        </is>
      </c>
    </row>
    <row r="13">
      <c r="B13" s="32" t="inlineStr"/>
    </row>
    <row r="14">
      <c r="B14" s="34" t="inlineStr">
        <is>
          <t>KEY SOURCED ANCHORS (full citations &amp; reliability in docs/dataroom/00-assumptions.md):</t>
        </is>
      </c>
    </row>
    <row r="15">
      <c r="B15" s="32" t="inlineStr">
        <is>
          <t>• Cape Town: median ~R3.4m, average ~R2.1m; R6m+ = prime freehold band (Lightstone/Property24 2024-26).</t>
        </is>
      </c>
    </row>
    <row r="16">
      <c r="B16" s="32" t="inlineStr">
        <is>
          <t>• Bond origination commission banks pay 1.0-1.9% of loan; originator referral share ~0.5% (ooba/IOL) - direct bank kickback to be negotiated.</t>
        </is>
      </c>
    </row>
    <row r="17">
      <c r="B17" s="32" t="inlineStr">
        <is>
          <t>• Estate-agency commission 5-7% + 15% VAT (Private Property). WhatsApp service/utility within 24h = free (Meta Jul 2025).</t>
        </is>
      </c>
    </row>
    <row r="18">
      <c r="B18" s="32" t="inlineStr">
        <is>
          <t>• Proptech ~8.8x EV/revenue globally; discount to 4-6x for SA early stage (Finro 2025). Purplebricks: IPO GBP240m -&gt; sold for GBP1 (CAC discipline).</t>
        </is>
      </c>
    </row>
    <row r="19">
      <c r="B19" s="32" t="inlineStr"/>
    </row>
    <row r="20">
      <c r="B20" s="34" t="inlineStr">
        <is>
          <t>WATCH-OUTS (flag to investors before they do):</t>
        </is>
      </c>
    </row>
    <row r="21">
      <c r="B21" s="32" t="inlineStr">
        <is>
          <t>1. High margins (AI-lean + 1% take) - consider a 'reinvest for growth' case. 2. Tying 0% to one bank (Nedbank) has consumer-choice / PPRA / competition angles - get the agreement + legal sign-off.</t>
        </is>
      </c>
    </row>
    <row r="22">
      <c r="B22" s="32" t="inlineStr">
        <is>
          <t>3. AI agents replacing 50% of roles in Y1 is operationally aggressive - validate with a pilot.</t>
        </is>
      </c>
    </row>
    <row r="23">
      <c r="B23" s="32" t="inlineStr"/>
    </row>
    <row r="24">
      <c r="B24" s="33" t="inlineStr">
        <is>
          <t>HOW TO USE: edit amber cells on Assumptions. P&amp;L, Scenarios and Valuation recalculate automatically.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2026-06-30T15:39:51Z</dcterms:created>
  <dcterms:modified xsi:type="dcterms:W3CDTF">2026-06-30T15:39:51Z</dcterms:modified>
</cp:coreProperties>
</file>