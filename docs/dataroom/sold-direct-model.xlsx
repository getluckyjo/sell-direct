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8360" tabRatio="600" firstSheet="0" activeTab="0" autoFilterDateGrouping="1"/>
  </bookViews>
  <sheets>
    <sheet name="Assumptions" sheetId="1" state="visible" r:id="rId1"/>
    <sheet name="P&amp;L (Base)" sheetId="2" state="visible" r:id="rId2"/>
    <sheet name="Scenarios" sheetId="3" state="visible" r:id="rId3"/>
    <sheet name="COGS Build" sheetId="4" state="visible" r:id="rId4"/>
    <sheet name="Market Sizing" sheetId="5" state="visible" r:id="rId5"/>
    <sheet name="Capital &amp; Valuation" sheetId="6" state="visible" r:id="rId6"/>
    <sheet name="Use of Funds" sheetId="7" state="visible" r:id="rId7"/>
    <sheet name="Cap Table" sheetId="8" state="visible" r:id="rId8"/>
    <sheet name="Funder Growth" sheetId="9" state="visible" r:id="rId9"/>
    <sheet name="Competitive Landscape" sheetId="10" state="visible" r:id="rId10"/>
    <sheet name="Risk Register" sheetId="11" state="visible" r:id="rId11"/>
    <sheet name="Ancillary Revenue" sheetId="12" state="visible" r:id="rId12"/>
    <sheet name="Notes &amp; Sources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R &quot;#,##0;\(&quot;R &quot;#,##0\);&quot;-&quot;"/>
    <numFmt numFmtId="166" formatCode="0.00&quot;x&quot;"/>
    <numFmt numFmtId="167" formatCode="0.0&quot;x&quot;"/>
    <numFmt numFmtId="168" formatCode="[$$-409]#,##0;\([$$-409]#,##0\);&quot;-&quot;"/>
    <numFmt numFmtId="169" formatCode="R#,##0"/>
  </numFmts>
  <fonts count="32">
    <font>
      <name val="Calibri"/>
      <family val="2"/>
      <color theme="1"/>
      <sz val="11"/>
      <scheme val="minor"/>
    </font>
    <font>
      <name val="Calibri"/>
      <family val="2"/>
      <i val="1"/>
      <color rgb="FF64748B"/>
      <sz val="9"/>
    </font>
    <font>
      <name val="Calibri"/>
      <family val="2"/>
      <b val="1"/>
      <color rgb="FFFFFFFF"/>
      <sz val="11"/>
    </font>
    <font>
      <name val="Calibri"/>
      <family val="2"/>
      <color rgb="FF334155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0B4F4A"/>
      <sz val="16"/>
    </font>
    <font>
      <name val="Calibri"/>
      <family val="2"/>
      <b val="1"/>
      <color rgb="FF0B4F4A"/>
      <sz val="10"/>
    </font>
    <font>
      <name val="Calibri"/>
      <family val="2"/>
      <color rgb="FF0F172A"/>
      <sz val="10"/>
    </font>
    <font>
      <name val="Calibri"/>
      <family val="2"/>
      <b val="1"/>
      <color rgb="FF0F172A"/>
      <sz val="10"/>
    </font>
    <font>
      <name val="Calibri"/>
      <family val="2"/>
      <color rgb="FF475569"/>
      <sz val="10"/>
    </font>
    <font>
      <name val="Calibri"/>
      <family val="2"/>
      <b val="1"/>
      <color rgb="FF475569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0"/>
    </font>
    <font>
      <name val="Calibri"/>
      <family val="2"/>
      <color rgb="FF475569"/>
      <sz val="10"/>
      <scheme val="minor"/>
    </font>
    <font>
      <name val="Calibri"/>
      <family val="2"/>
      <i val="1"/>
      <color rgb="FF475569"/>
      <sz val="10"/>
    </font>
    <font>
      <name val="Calibri"/>
      <family val="2"/>
      <i val="1"/>
      <sz val="10"/>
    </font>
    <font>
      <name val="Calibri"/>
      <family val="2"/>
      <color rgb="FF94A3B8"/>
      <sz val="8"/>
    </font>
    <font>
      <name val="Calibri"/>
      <family val="2"/>
      <color rgb="FF94A3B8"/>
      <sz val="8"/>
      <scheme val="minor"/>
    </font>
    <font>
      <name val="Calibri"/>
      <family val="2"/>
      <i val="1"/>
      <color rgb="FF475569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4F4A"/>
      <sz val="11"/>
    </font>
    <font>
      <name val="Calibri"/>
      <family val="2"/>
      <b val="1"/>
      <color rgb="FF0F172A"/>
      <sz val="10"/>
      <scheme val="minor"/>
    </font>
    <font>
      <b val="1"/>
      <color rgb="001F2937"/>
      <sz val="14"/>
    </font>
    <font>
      <i val="1"/>
      <color rgb="0064748B"/>
      <sz val="9"/>
    </font>
    <font>
      <b val="1"/>
      <color rgb="00FFFFFF"/>
      <sz val="11"/>
    </font>
    <font>
      <b val="1"/>
      <sz val="10"/>
    </font>
    <font>
      <color rgb="00334155"/>
      <sz val="10"/>
    </font>
    <font>
      <sz val="10"/>
    </font>
    <font>
      <b val="1"/>
      <color rgb="00065F46"/>
      <sz val="10"/>
    </font>
    <font>
      <color rgb="00334155"/>
      <sz val="9"/>
    </font>
    <font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FF065F46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0B4F4A"/>
        <bgColor indexed="64"/>
      </patternFill>
    </fill>
    <fill>
      <patternFill patternType="solid">
        <fgColor rgb="FFFFF7E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00065F46"/>
      </patternFill>
    </fill>
    <fill>
      <patternFill patternType="solid">
        <fgColor rgb="00F1F5F9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FDE68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B4F4A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4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6" fillId="0" borderId="0" pivotButton="0" quotePrefix="0" xfId="0"/>
    <xf numFmtId="0" fontId="2" fillId="5" borderId="0" pivotButton="0" quotePrefix="0" xfId="0"/>
    <xf numFmtId="0" fontId="7" fillId="0" borderId="0" applyAlignment="1" pivotButton="0" quotePrefix="0" xfId="0">
      <alignment horizontal="center"/>
    </xf>
    <xf numFmtId="165" fontId="4" fillId="6" borderId="0" pivotButton="0" quotePrefix="0" xfId="0"/>
    <xf numFmtId="164" fontId="8" fillId="6" borderId="0" pivotButton="0" quotePrefix="0" xfId="0"/>
    <xf numFmtId="4" fontId="8" fillId="6" borderId="0" pivotButton="0" quotePrefix="0" xfId="0"/>
    <xf numFmtId="166" fontId="8" fillId="6" borderId="0" pivotButton="0" quotePrefix="0" xfId="0"/>
    <xf numFmtId="165" fontId="8" fillId="6" borderId="0" pivotButton="0" quotePrefix="0" xfId="0"/>
    <xf numFmtId="3" fontId="8" fillId="6" borderId="0" pivotButton="0" quotePrefix="0" xfId="0"/>
    <xf numFmtId="165" fontId="8" fillId="7" borderId="0" pivotButton="0" quotePrefix="0" xfId="0"/>
    <xf numFmtId="165" fontId="9" fillId="7" borderId="0" pivotButton="0" quotePrefix="0" xfId="0"/>
    <xf numFmtId="3" fontId="8" fillId="7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9" fillId="4" borderId="0" pivotButton="0" quotePrefix="0" xfId="0"/>
    <xf numFmtId="0" fontId="7" fillId="8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165" fontId="4" fillId="0" borderId="0" pivotButton="0" quotePrefix="0" xfId="0"/>
    <xf numFmtId="165" fontId="5" fillId="0" borderId="0" pivotButton="0" quotePrefix="0" xfId="0"/>
    <xf numFmtId="0" fontId="11" fillId="9" borderId="0" pivotButton="0" quotePrefix="0" xfId="0"/>
    <xf numFmtId="165" fontId="5" fillId="9" borderId="0" pivotButton="0" quotePrefix="0" xfId="0"/>
    <xf numFmtId="0" fontId="9" fillId="9" borderId="0" pivotButton="0" quotePrefix="0" xfId="0"/>
    <xf numFmtId="165" fontId="9" fillId="9" borderId="0" pivotButton="0" quotePrefix="0" xfId="0"/>
    <xf numFmtId="0" fontId="9" fillId="0" borderId="0" pivotButton="0" quotePrefix="0" xfId="0"/>
    <xf numFmtId="0" fontId="9" fillId="0" borderId="2" pivotButton="0" quotePrefix="0" xfId="0"/>
    <xf numFmtId="165" fontId="9" fillId="0" borderId="2" pivotButton="0" quotePrefix="0" xfId="0"/>
    <xf numFmtId="0" fontId="12" fillId="0" borderId="0" pivotButton="0" quotePrefix="0" xfId="0"/>
    <xf numFmtId="0" fontId="13" fillId="5" borderId="0" pivotButton="0" quotePrefix="0" xfId="0"/>
    <xf numFmtId="0" fontId="14" fillId="0" borderId="0" pivotButton="0" quotePrefix="0" xfId="0"/>
    <xf numFmtId="0" fontId="15" fillId="0" borderId="0" pivotButton="0" quotePrefix="0" xfId="0"/>
    <xf numFmtId="165" fontId="16" fillId="0" borderId="0" pivotButton="0" quotePrefix="0" xfId="0"/>
    <xf numFmtId="3" fontId="17" fillId="0" borderId="0" pivotButton="0" quotePrefix="0" xfId="0"/>
    <xf numFmtId="0" fontId="18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167" fontId="4" fillId="0" borderId="0" pivotButton="0" quotePrefix="0" xfId="0"/>
    <xf numFmtId="0" fontId="11" fillId="5" borderId="0" pivotButton="0" quotePrefix="0" xfId="0"/>
    <xf numFmtId="0" fontId="19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9" borderId="0" pivotButton="0" quotePrefix="0" xfId="0"/>
    <xf numFmtId="0" fontId="20" fillId="9" borderId="0" pivotButton="0" quotePrefix="0" xfId="0"/>
    <xf numFmtId="0" fontId="6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22" fillId="0" borderId="0" pivotButton="0" quotePrefix="0" xfId="0"/>
    <xf numFmtId="168" fontId="4" fillId="0" borderId="0" pivotButton="0" quotePrefix="0" xfId="0"/>
    <xf numFmtId="166" fontId="8" fillId="6" borderId="0" pivotButton="0" quotePrefix="0" xfId="0"/>
    <xf numFmtId="165" fontId="8" fillId="6" borderId="0" pivotButton="0" quotePrefix="0" xfId="0"/>
    <xf numFmtId="165" fontId="8" fillId="7" borderId="0" pivotButton="0" quotePrefix="0" xfId="0"/>
    <xf numFmtId="165" fontId="9" fillId="7" borderId="0" pivotButton="0" quotePrefix="0" xfId="0"/>
    <xf numFmtId="165" fontId="4" fillId="0" borderId="0" pivotButton="0" quotePrefix="0" xfId="0"/>
    <xf numFmtId="165" fontId="9" fillId="9" borderId="0" pivotButton="0" quotePrefix="0" xfId="0"/>
    <xf numFmtId="165" fontId="9" fillId="0" borderId="2" pivotButton="0" quotePrefix="0" xfId="0"/>
    <xf numFmtId="165" fontId="5" fillId="0" borderId="0" pivotButton="0" quotePrefix="0" xfId="0"/>
    <xf numFmtId="165" fontId="5" fillId="9" borderId="0" pivotButton="0" quotePrefix="0" xfId="0"/>
    <xf numFmtId="165" fontId="16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10" borderId="0" pivotButton="0" quotePrefix="0" xfId="0"/>
    <xf numFmtId="0" fontId="26" fillId="0" borderId="0" pivotButton="0" quotePrefix="0" xfId="0"/>
    <xf numFmtId="169" fontId="26" fillId="11" borderId="0" pivotButton="0" quotePrefix="0" xfId="0"/>
    <xf numFmtId="169" fontId="26" fillId="12" borderId="0" pivotButton="0" quotePrefix="0" xfId="0"/>
    <xf numFmtId="0" fontId="27" fillId="0" borderId="0" pivotButton="0" quotePrefix="0" xfId="0"/>
    <xf numFmtId="3" fontId="28" fillId="13" borderId="0" pivotButton="0" quotePrefix="0" xfId="0"/>
    <xf numFmtId="169" fontId="28" fillId="13" borderId="0" pivotButton="0" quotePrefix="0" xfId="0"/>
    <xf numFmtId="169" fontId="28" fillId="11" borderId="0" pivotButton="0" quotePrefix="0" xfId="0"/>
    <xf numFmtId="164" fontId="28" fillId="13" borderId="0" pivotButton="0" quotePrefix="0" xfId="0"/>
    <xf numFmtId="3" fontId="28" fillId="11" borderId="0" pivotButton="0" quotePrefix="0" xfId="0"/>
    <xf numFmtId="0" fontId="29" fillId="0" borderId="0" pivotButton="0" quotePrefix="0" xfId="0"/>
    <xf numFmtId="3" fontId="26" fillId="0" borderId="0" pivotButton="0" quotePrefix="0" xfId="0"/>
    <xf numFmtId="169" fontId="0" fillId="0" borderId="0" pivotButton="0" quotePrefix="0" xfId="0"/>
    <xf numFmtId="164" fontId="26" fillId="0" borderId="0" pivotButton="0" quotePrefix="0" xfId="0"/>
    <xf numFmtId="164" fontId="0" fillId="0" borderId="0" pivotButton="0" quotePrefix="0" xfId="0"/>
    <xf numFmtId="164" fontId="26" fillId="12" borderId="0" pivotButton="0" quotePrefix="0" xfId="0"/>
    <xf numFmtId="164" fontId="28" fillId="11" borderId="0" pivotButton="0" quotePrefix="0" xfId="0"/>
    <xf numFmtId="0" fontId="30" fillId="0" borderId="0" pivotButton="0" quotePrefix="0" xfId="0"/>
    <xf numFmtId="0" fontId="29" fillId="0" borderId="0" applyAlignment="1" pivotButton="0" quotePrefix="0" xfId="0">
      <alignment horizontal="center"/>
    </xf>
    <xf numFmtId="169" fontId="26" fillId="0" borderId="0" pivotButton="0" quotePrefix="0" xfId="0"/>
    <xf numFmtId="3" fontId="0" fillId="0" borderId="0" pivotButton="0" quotePrefix="0" xfId="0"/>
    <xf numFmtId="168" fontId="4" fillId="0" borderId="0" pivotButton="0" quotePrefix="0" xfId="0"/>
    <xf numFmtId="165" fontId="4" fillId="6" borderId="0" pivotButton="0" quotePrefix="0" xfId="0"/>
    <xf numFmtId="167" fontId="4" fillId="0" borderId="0" pivotButton="0" quotePrefix="0" xfId="0"/>
    <xf numFmtId="165" fontId="0" fillId="6" borderId="0" pivotButton="0" quotePrefix="0" xfId="0"/>
    <xf numFmtId="165" fontId="0" fillId="0" borderId="0" pivotButton="0" quotePrefix="0" xfId="0"/>
    <xf numFmtId="0" fontId="31" fillId="10" borderId="0" pivotButton="0" quotePrefix="0" xfId="0"/>
    <xf numFmtId="169" fontId="0" fillId="13" borderId="0" pivotButton="0" quotePrefix="0" xfId="0"/>
    <xf numFmtId="0" fontId="30" fillId="0" borderId="0" applyAlignment="1" pivotButton="0" quotePrefix="0" xfId="0">
      <alignment vertical="top" wrapText="1"/>
    </xf>
    <xf numFmtId="0" fontId="31" fillId="10" borderId="0" applyAlignment="1" pivotButton="0" quotePrefix="0" xfId="0">
      <alignment vertical="top" wrapText="1"/>
    </xf>
    <xf numFmtId="0" fontId="29" fillId="12" borderId="0" applyAlignment="1" pivotButton="0" quotePrefix="0" xfId="0">
      <alignment vertical="top" wrapText="1"/>
    </xf>
    <xf numFmtId="0" fontId="30" fillId="12" borderId="0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31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6" fillId="14" borderId="0" applyAlignment="1" pivotButton="0" quotePrefix="0" xfId="0">
      <alignment horizontal="center" vertical="center"/>
    </xf>
    <xf numFmtId="0" fontId="26" fillId="15" borderId="0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167" fontId="0" fillId="13" borderId="0" pivotButton="0" quotePrefix="0" xfId="0"/>
    <xf numFmtId="164" fontId="0" fillId="13" borderId="0" pivotButton="0" quotePrefix="0" xfId="0"/>
    <xf numFmtId="167" fontId="0" fillId="0" borderId="0" pivotButton="0" quotePrefix="0" xfId="0"/>
    <xf numFmtId="3" fontId="9" fillId="7" borderId="0" pivotButton="0" quotePrefix="0" xfId="0"/>
    <xf numFmtId="164" fontId="9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Stakeholder value by round (R)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'Funder Growth'!D4</f>
            </strRef>
          </tx>
          <spPr>
            <a:ln>
              <a:prstDash val="solid"/>
            </a:ln>
          </spPr>
          <cat>
            <numRef>
              <f>'Funder Growth'!$B$5:$B$10</f>
            </numRef>
          </cat>
          <val>
            <numRef>
              <f>'Funder Growth'!$D$5:$D$10</f>
            </numRef>
          </val>
        </ser>
        <ser>
          <idx val="1"/>
          <order val="1"/>
          <tx>
            <strRef>
              <f>'Funder Growth'!E4</f>
            </strRef>
          </tx>
          <spPr>
            <a:ln>
              <a:prstDash val="solid"/>
            </a:ln>
          </spPr>
          <cat>
            <numRef>
              <f>'Funder Growth'!$B$5:$B$10</f>
            </numRef>
          </cat>
          <val>
            <numRef>
              <f>'Funder Growth'!$E$5:$E$10</f>
            </numRef>
          </val>
        </ser>
        <ser>
          <idx val="2"/>
          <order val="2"/>
          <tx>
            <strRef>
              <f>'Funder Growth'!F4</f>
            </strRef>
          </tx>
          <spPr>
            <a:ln>
              <a:prstDash val="solid"/>
            </a:ln>
          </spPr>
          <cat>
            <numRef>
              <f>'Funder Growth'!$B$5:$B$10</f>
            </numRef>
          </cat>
          <val>
            <numRef>
              <f>'Funder Growth'!$F$5:$F$10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 (millions)</a:t>
                </a:r>
              </a:p>
            </rich>
          </tx>
        </title>
        <numFmt formatCode="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F59E0B"/>
    <outlinePr summaryBelow="1" summaryRight="1"/>
    <pageSetUpPr/>
  </sheetPr>
  <dimension ref="B1:H72"/>
  <sheetViews>
    <sheetView showGridLines="0" tabSelected="1" topLeftCell="A6" workbookViewId="0">
      <selection activeCell="A1" sqref="A1"/>
    </sheetView>
  </sheetViews>
  <sheetFormatPr baseColWidth="10" defaultColWidth="8.83203125" defaultRowHeight="15"/>
  <cols>
    <col width="1" customWidth="1" min="1" max="1"/>
    <col width="48.33203125" customWidth="1" min="2" max="2"/>
    <col width="20" customWidth="1" min="3" max="7"/>
    <col width="12" customWidth="1" min="8" max="8"/>
  </cols>
  <sheetData>
    <row r="1" ht="21" customHeight="1">
      <c r="B1" s="8" t="inlineStr">
        <is>
          <t>Sold Direct — Model Assumptions (Prime · 1% fee · AI-lean · bank sponsor)</t>
        </is>
      </c>
    </row>
    <row r="2">
      <c r="B2" s="1" t="inlineStr">
        <is>
          <t>Amber = editable input. Grey = calculated. Every other tab links here.</t>
        </is>
      </c>
    </row>
    <row r="4">
      <c r="B4" s="9" t="inlineStr">
        <is>
          <t>GLOBAL INPUTS</t>
        </is>
      </c>
      <c r="C4" s="9" t="n"/>
      <c r="D4" s="9" t="n"/>
      <c r="E4" s="9" t="n"/>
      <c r="F4" s="9" t="n"/>
      <c r="G4" s="9" t="n"/>
      <c r="H4" s="2" t="n"/>
    </row>
    <row r="5">
      <c r="B5" s="20" t="inlineStr">
        <is>
          <t>Bond origination referral (% of bond, via ooba — Y1 only)</t>
        </is>
      </c>
      <c r="C5" s="12" t="n">
        <v>0.005</v>
      </c>
    </row>
    <row r="6">
      <c r="B6" s="20" t="inlineStr">
        <is>
          <t>Facilitation fee — non-partner deals (% of price)</t>
        </is>
      </c>
      <c r="C6" s="12" t="n">
        <v>0.01</v>
      </c>
    </row>
    <row r="7">
      <c r="B7" s="20" t="inlineStr">
        <is>
          <t>Gross margin (derived from COGS Build, blended)</t>
        </is>
      </c>
      <c r="C7" s="12">
        <f>1-SUM('COGS Build'!C20:G20)/SUM('COGS Build'!C22:G22)</f>
        <v/>
      </c>
    </row>
    <row r="8">
      <c r="B8" s="20" t="inlineStr">
        <is>
          <t>ZAR per USD</t>
        </is>
      </c>
      <c r="C8" s="13" t="n">
        <v>18.5</v>
      </c>
    </row>
    <row r="9">
      <c r="B9" s="20" t="inlineStr">
        <is>
          <t>Valuation multiple — low (x revenue)</t>
        </is>
      </c>
      <c r="C9" s="59" t="n">
        <v>4</v>
      </c>
    </row>
    <row r="10">
      <c r="B10" s="20" t="inlineStr">
        <is>
          <t>Valuation multiple — high (x revenue)</t>
        </is>
      </c>
      <c r="C10" s="59" t="n">
        <v>6</v>
      </c>
    </row>
    <row r="11">
      <c r="B11" s="20" t="inlineStr">
        <is>
          <t>Working-capital / contingency buffer (R)</t>
        </is>
      </c>
      <c r="C11" s="60" t="n">
        <v>3000000</v>
      </c>
    </row>
    <row r="13">
      <c r="B13" s="9" t="inlineStr">
        <is>
          <t>PER-YEAR REVENUE DRIVERS (BASE)</t>
        </is>
      </c>
      <c r="C13" s="9" t="n"/>
      <c r="D13" s="9" t="n"/>
      <c r="E13" s="9" t="n"/>
      <c r="F13" s="9" t="n"/>
      <c r="G13" s="9" t="n"/>
      <c r="H13" s="2" t="n"/>
    </row>
    <row r="14">
      <c r="C14" s="10" t="inlineStr">
        <is>
          <t>Y1</t>
        </is>
      </c>
      <c r="D14" s="10" t="inlineStr">
        <is>
          <t>Y2</t>
        </is>
      </c>
      <c r="E14" s="10" t="inlineStr">
        <is>
          <t>Y3</t>
        </is>
      </c>
      <c r="F14" s="10" t="inlineStr">
        <is>
          <t>Y4</t>
        </is>
      </c>
      <c r="G14" s="10" t="inlineStr">
        <is>
          <t>Y5</t>
        </is>
      </c>
    </row>
    <row r="15">
      <c r="B15" s="20" t="inlineStr">
        <is>
          <t>Avg transacting price (R)</t>
        </is>
      </c>
      <c r="C15" s="60" t="n">
        <v>6500000</v>
      </c>
      <c r="D15" s="60" t="n">
        <v>5750000</v>
      </c>
      <c r="E15" s="60" t="n">
        <v>5000000</v>
      </c>
      <c r="F15" s="60" t="n">
        <v>4500000</v>
      </c>
      <c r="G15" s="60" t="n">
        <v>4000000</v>
      </c>
    </row>
    <row r="16">
      <c r="B16" s="20" t="inlineStr">
        <is>
          <t>Bonded share (qualifying &gt;=80% bond, any bank)</t>
        </is>
      </c>
      <c r="C16" s="12" t="n">
        <v>0.4</v>
      </c>
      <c r="D16" s="12" t="n">
        <v>0.4</v>
      </c>
      <c r="E16" s="12" t="n">
        <v>0.4</v>
      </c>
      <c r="F16" s="12" t="n">
        <v>0.42</v>
      </c>
      <c r="G16" s="12" t="n">
        <v>0.42</v>
      </c>
    </row>
    <row r="17">
      <c r="B17" s="21" t="inlineStr">
        <is>
          <t>Bond size = 90% of price (R)</t>
        </is>
      </c>
      <c r="C17" s="61">
        <f>C15*0.9</f>
        <v/>
      </c>
      <c r="D17" s="61">
        <f>D15*0.9</f>
        <v/>
      </c>
      <c r="E17" s="61">
        <f>E15*0.9</f>
        <v/>
      </c>
      <c r="F17" s="61">
        <f>F15*0.9</f>
        <v/>
      </c>
      <c r="G17" s="61">
        <f>G15*0.9</f>
        <v/>
      </c>
    </row>
    <row r="18">
      <c r="B18" s="21" t="inlineStr">
        <is>
          <t>Origination income / qualifying deal (R)  (Y1 ooba → Y2+ in-house)</t>
        </is>
      </c>
      <c r="C18" s="61">
        <f>C17*C67</f>
        <v/>
      </c>
      <c r="D18" s="61">
        <f>D17*D67</f>
        <v/>
      </c>
      <c r="E18" s="61">
        <f>E17*E67</f>
        <v/>
      </c>
      <c r="F18" s="61">
        <f>F17*F67</f>
        <v/>
      </c>
      <c r="G18" s="61">
        <f>G17*G67</f>
        <v/>
      </c>
    </row>
    <row r="19">
      <c r="B19" s="21" t="inlineStr">
        <is>
          <t>Facilitation fee / non-partner deal (R)</t>
        </is>
      </c>
      <c r="C19" s="61">
        <f>C15*$C$6</f>
        <v/>
      </c>
      <c r="D19" s="61">
        <f>D15*$C$6</f>
        <v/>
      </c>
      <c r="E19" s="61">
        <f>E15*$C$6</f>
        <v/>
      </c>
      <c r="F19" s="61">
        <f>F15*$C$6</f>
        <v/>
      </c>
      <c r="G19" s="61">
        <f>G15*$C$6</f>
        <v/>
      </c>
    </row>
    <row r="20">
      <c r="B20" s="21" t="inlineStr">
        <is>
          <t>Referral OR fee / deal, blended (R)</t>
        </is>
      </c>
      <c r="C20" s="61">
        <f>C16*C18+(1-C16)*C19</f>
        <v/>
      </c>
      <c r="D20" s="61">
        <f>D16*D18+(1-D16)*D19</f>
        <v/>
      </c>
      <c r="E20" s="61">
        <f>E16*E18+(1-E16)*E19</f>
        <v/>
      </c>
      <c r="F20" s="61">
        <f>F16*F18+(1-F16)*F19</f>
        <v/>
      </c>
      <c r="G20" s="61">
        <f>G16*G18+(1-G16)*G19</f>
        <v/>
      </c>
    </row>
    <row r="21">
      <c r="B21" s="20" t="inlineStr">
        <is>
          <t>Conveyancing referral / deal (R)</t>
        </is>
      </c>
      <c r="C21" s="60" t="n">
        <v>9000</v>
      </c>
      <c r="D21" s="60" t="n">
        <v>9000</v>
      </c>
      <c r="E21" s="60" t="n">
        <v>9500</v>
      </c>
      <c r="F21" s="60" t="n">
        <v>10000</v>
      </c>
      <c r="G21" s="60" t="n">
        <v>10000</v>
      </c>
    </row>
    <row r="22">
      <c r="B22" s="20" t="inlineStr">
        <is>
          <t>Add-ons / deal (R)</t>
        </is>
      </c>
      <c r="C22" s="60" t="n">
        <v>5000</v>
      </c>
      <c r="D22" s="60" t="n">
        <v>5000</v>
      </c>
      <c r="E22" s="60" t="n">
        <v>5500</v>
      </c>
      <c r="F22" s="60" t="n">
        <v>6000</v>
      </c>
      <c r="G22" s="60" t="n">
        <v>6500</v>
      </c>
    </row>
    <row r="23">
      <c r="B23" s="22" t="inlineStr">
        <is>
          <t>Revenue per deal (R)</t>
        </is>
      </c>
      <c r="C23" s="62">
        <f>C20+C21+C22</f>
        <v/>
      </c>
      <c r="D23" s="62">
        <f>D20+D21+D22</f>
        <v/>
      </c>
      <c r="E23" s="62">
        <f>E20+E21+E22</f>
        <v/>
      </c>
      <c r="F23" s="62">
        <f>F20+F21+F22</f>
        <v/>
      </c>
      <c r="G23" s="62">
        <f>G20+G21+G22</f>
        <v/>
      </c>
    </row>
    <row r="25">
      <c r="B25" s="9" t="inlineStr">
        <is>
          <t>OTHER REVENUE</t>
        </is>
      </c>
      <c r="C25" s="9" t="n"/>
      <c r="D25" s="9" t="n"/>
      <c r="E25" s="9" t="n"/>
      <c r="F25" s="9" t="n"/>
      <c r="G25" s="9" t="n"/>
      <c r="H25" s="2" t="n"/>
    </row>
    <row r="26">
      <c r="C26" s="10" t="inlineStr">
        <is>
          <t>Y1</t>
        </is>
      </c>
      <c r="D26" s="10" t="inlineStr">
        <is>
          <t>Y2</t>
        </is>
      </c>
      <c r="E26" s="10" t="inlineStr">
        <is>
          <t>Y3</t>
        </is>
      </c>
      <c r="F26" s="10" t="inlineStr">
        <is>
          <t>Y4</t>
        </is>
      </c>
      <c r="G26" s="10" t="inlineStr">
        <is>
          <t>Y5</t>
        </is>
      </c>
    </row>
    <row r="27">
      <c r="B27" s="20" t="inlineStr">
        <is>
          <t>Bank headline sponsorship (R/yr)</t>
        </is>
      </c>
      <c r="C27" s="60" t="n">
        <v>3000000</v>
      </c>
      <c r="D27" s="60" t="n">
        <v>4000000</v>
      </c>
      <c r="E27" s="60" t="n">
        <v>5000000</v>
      </c>
      <c r="F27" s="60" t="n">
        <v>6500000</v>
      </c>
      <c r="G27" s="60" t="n">
        <v>8000000</v>
      </c>
    </row>
    <row r="29">
      <c r="B29" s="9" t="inlineStr">
        <is>
          <t>REGISTERED DEALS BY SCENARIO (reinvest-for-growth)</t>
        </is>
      </c>
      <c r="C29" s="9" t="n"/>
      <c r="D29" s="9" t="n"/>
      <c r="E29" s="9" t="n"/>
      <c r="F29" s="9" t="n"/>
      <c r="G29" s="9" t="n"/>
      <c r="H29" s="2" t="n"/>
    </row>
    <row r="30">
      <c r="C30" s="10" t="inlineStr">
        <is>
          <t>Y1</t>
        </is>
      </c>
      <c r="D30" s="10" t="inlineStr">
        <is>
          <t>Y2</t>
        </is>
      </c>
      <c r="E30" s="10" t="inlineStr">
        <is>
          <t>Y3</t>
        </is>
      </c>
      <c r="F30" s="10" t="inlineStr">
        <is>
          <t>Y4</t>
        </is>
      </c>
      <c r="G30" s="10" t="inlineStr">
        <is>
          <t>Y5</t>
        </is>
      </c>
    </row>
    <row r="31">
      <c r="B31" s="20" t="inlineStr">
        <is>
          <t>Conservative</t>
        </is>
      </c>
      <c r="C31" s="16" t="n">
        <v>30</v>
      </c>
      <c r="D31" s="16" t="n">
        <v>130</v>
      </c>
      <c r="E31" s="16" t="n">
        <v>400</v>
      </c>
      <c r="F31" s="16" t="n">
        <v>950</v>
      </c>
      <c r="G31" s="16" t="n">
        <v>1900</v>
      </c>
    </row>
    <row r="32">
      <c r="B32" s="20" t="inlineStr">
        <is>
          <t>Base</t>
        </is>
      </c>
      <c r="C32" s="16" t="n">
        <v>50</v>
      </c>
      <c r="D32" s="16" t="n">
        <v>220</v>
      </c>
      <c r="E32" s="16" t="n">
        <v>650</v>
      </c>
      <c r="F32" s="16" t="n">
        <v>1500</v>
      </c>
      <c r="G32" s="16" t="n">
        <v>2900</v>
      </c>
    </row>
    <row r="33">
      <c r="B33" s="20" t="inlineStr">
        <is>
          <t>Aggressive</t>
        </is>
      </c>
      <c r="C33" s="16" t="n">
        <v>80</v>
      </c>
      <c r="D33" s="16" t="n">
        <v>350</v>
      </c>
      <c r="E33" s="16" t="n">
        <v>1000</v>
      </c>
      <c r="F33" s="16" t="n">
        <v>2400</v>
      </c>
      <c r="G33" s="16" t="n">
        <v>4800</v>
      </c>
    </row>
    <row r="35">
      <c r="B35" s="9" t="inlineStr">
        <is>
          <t>REVENUE/DEAL MULTIPLIER BY SCENARIO</t>
        </is>
      </c>
      <c r="C35" s="9" t="n"/>
      <c r="D35" s="9" t="n"/>
      <c r="E35" s="9" t="n"/>
      <c r="F35" s="9" t="n"/>
      <c r="G35" s="9" t="n"/>
      <c r="H35" s="2" t="n"/>
    </row>
    <row r="36">
      <c r="B36" s="20" t="inlineStr">
        <is>
          <t>Conservative</t>
        </is>
      </c>
      <c r="C36" s="59" t="n">
        <v>0.92</v>
      </c>
    </row>
    <row r="37">
      <c r="B37" s="20" t="inlineStr">
        <is>
          <t>Base</t>
        </is>
      </c>
      <c r="C37" s="59" t="n">
        <v>1</v>
      </c>
    </row>
    <row r="38">
      <c r="B38" s="20" t="inlineStr">
        <is>
          <t>Aggressive</t>
        </is>
      </c>
      <c r="C38" s="59" t="n">
        <v>1.1</v>
      </c>
    </row>
    <row r="40">
      <c r="B40" s="9" t="inlineStr">
        <is>
          <t>OPERATING EXPENSE INPUTS (BASE)</t>
        </is>
      </c>
      <c r="C40" s="9" t="n"/>
      <c r="D40" s="9" t="n"/>
      <c r="E40" s="9" t="n"/>
      <c r="F40" s="9" t="n"/>
      <c r="G40" s="9" t="n"/>
      <c r="H40" s="2" t="n"/>
    </row>
    <row r="41">
      <c r="C41" s="10" t="inlineStr">
        <is>
          <t>Y1</t>
        </is>
      </c>
      <c r="D41" s="10" t="inlineStr">
        <is>
          <t>Y2</t>
        </is>
      </c>
      <c r="E41" s="10" t="inlineStr">
        <is>
          <t>Y3</t>
        </is>
      </c>
      <c r="F41" s="10" t="inlineStr">
        <is>
          <t>Y4</t>
        </is>
      </c>
      <c r="G41" s="10" t="inlineStr">
        <is>
          <t>Y5</t>
        </is>
      </c>
    </row>
    <row r="42">
      <c r="B42" s="20" t="inlineStr">
        <is>
          <t>Total headcount (workers)</t>
        </is>
      </c>
      <c r="C42" s="16" t="n">
        <v>8</v>
      </c>
      <c r="D42" s="16" t="n">
        <v>14</v>
      </c>
      <c r="E42" s="16" t="n">
        <v>22</v>
      </c>
      <c r="F42" s="16" t="n">
        <v>34</v>
      </c>
      <c r="G42" s="16" t="n">
        <v>48</v>
      </c>
    </row>
    <row r="43">
      <c r="B43" s="20" t="inlineStr">
        <is>
          <t>AI-agent share of headcount</t>
        </is>
      </c>
      <c r="C43" s="12" t="n">
        <v>0.5</v>
      </c>
      <c r="D43" s="12" t="n">
        <v>0.5</v>
      </c>
      <c r="E43" s="12" t="n">
        <v>0.5</v>
      </c>
      <c r="F43" s="12" t="n">
        <v>0.5</v>
      </c>
      <c r="G43" s="12" t="n">
        <v>0.5</v>
      </c>
    </row>
    <row r="44">
      <c r="B44" s="3" t="inlineStr">
        <is>
          <t>Human FTEs</t>
        </is>
      </c>
      <c r="C44" s="19">
        <f>C42*(1-C43)</f>
        <v/>
      </c>
      <c r="D44" s="19">
        <f>D42*(1-D43)</f>
        <v/>
      </c>
      <c r="E44" s="19">
        <f>E42*(1-E43)</f>
        <v/>
      </c>
      <c r="F44" s="19">
        <f>F42*(1-F43)</f>
        <v/>
      </c>
      <c r="G44" s="19">
        <f>G42*(1-G43)</f>
        <v/>
      </c>
    </row>
    <row r="45">
      <c r="B45" s="3" t="inlineStr">
        <is>
          <t>AI agents</t>
        </is>
      </c>
      <c r="C45" s="19">
        <f>C42*C43</f>
        <v/>
      </c>
      <c r="D45" s="19">
        <f>D42*D43</f>
        <v/>
      </c>
      <c r="E45" s="19">
        <f>E42*E43</f>
        <v/>
      </c>
      <c r="F45" s="19">
        <f>F42*F43</f>
        <v/>
      </c>
      <c r="G45" s="19">
        <f>G42*G43</f>
        <v/>
      </c>
    </row>
    <row r="46">
      <c r="B46" s="20" t="inlineStr">
        <is>
          <t>Human fully-loaded cost / FTE (R/yr)</t>
        </is>
      </c>
      <c r="C46" s="60" t="n">
        <v>700000</v>
      </c>
      <c r="D46" s="60" t="n">
        <v>722000</v>
      </c>
      <c r="E46" s="60" t="n">
        <v>738000</v>
      </c>
      <c r="F46" s="60" t="n">
        <v>761000</v>
      </c>
      <c r="G46" s="60" t="n">
        <v>779000</v>
      </c>
    </row>
    <row r="47">
      <c r="B47" s="20" t="inlineStr">
        <is>
          <t>AI-agent run cost each (R/yr)</t>
        </is>
      </c>
      <c r="C47" s="60" t="n">
        <v>150000</v>
      </c>
      <c r="D47" s="60" t="n">
        <v>150000</v>
      </c>
      <c r="E47" s="60" t="n">
        <v>150000</v>
      </c>
      <c r="F47" s="60" t="n">
        <v>150000</v>
      </c>
      <c r="G47" s="60" t="n">
        <v>150000</v>
      </c>
    </row>
    <row r="48">
      <c r="B48" s="22" t="inlineStr">
        <is>
          <t>Payroll + AI agents (R)</t>
        </is>
      </c>
      <c r="C48" s="62">
        <f>C44*C46+C45*C47</f>
        <v/>
      </c>
      <c r="D48" s="62">
        <f>D44*D46+D45*D47</f>
        <v/>
      </c>
      <c r="E48" s="62">
        <f>E44*E46+E45*E47</f>
        <v/>
      </c>
      <c r="F48" s="62">
        <f>F44*F46+F45*F47</f>
        <v/>
      </c>
      <c r="G48" s="62">
        <f>G44*G46+G45*G47</f>
        <v/>
      </c>
    </row>
    <row r="49">
      <c r="B49" s="20" t="inlineStr">
        <is>
          <t>Marketing — above-the-line (R)</t>
        </is>
      </c>
      <c r="C49" s="60" t="n">
        <v>2500000</v>
      </c>
      <c r="D49" s="60" t="n">
        <v>8000000</v>
      </c>
      <c r="E49" s="60" t="n">
        <v>18000000</v>
      </c>
      <c r="F49" s="60" t="n">
        <v>32000000</v>
      </c>
      <c r="G49" s="60" t="n">
        <v>50000000</v>
      </c>
    </row>
    <row r="50">
      <c r="B50" s="20" t="inlineStr">
        <is>
          <t>Tech &amp; tools (R)</t>
        </is>
      </c>
      <c r="C50" s="60" t="n">
        <v>600000</v>
      </c>
      <c r="D50" s="60" t="n">
        <v>1000000</v>
      </c>
      <c r="E50" s="60" t="n">
        <v>1800000</v>
      </c>
      <c r="F50" s="60" t="n">
        <v>2800000</v>
      </c>
      <c r="G50" s="60" t="n">
        <v>4000000</v>
      </c>
    </row>
    <row r="51">
      <c r="B51" s="20" t="inlineStr">
        <is>
          <t>Legal / compliance / insurance (R)</t>
        </is>
      </c>
      <c r="C51" s="60" t="n">
        <v>700000</v>
      </c>
      <c r="D51" s="60" t="n">
        <v>1000000</v>
      </c>
      <c r="E51" s="60" t="n">
        <v>1500000</v>
      </c>
      <c r="F51" s="60" t="n">
        <v>2200000</v>
      </c>
      <c r="G51" s="60" t="n">
        <v>3000000</v>
      </c>
    </row>
    <row r="52">
      <c r="B52" s="20" t="inlineStr">
        <is>
          <t>G&amp;A / office / other (R)</t>
        </is>
      </c>
      <c r="C52" s="60" t="n">
        <v>600000</v>
      </c>
      <c r="D52" s="60" t="n">
        <v>1000000</v>
      </c>
      <c r="E52" s="60" t="n">
        <v>1800000</v>
      </c>
      <c r="F52" s="60" t="n">
        <v>3200000</v>
      </c>
      <c r="G52" s="60" t="n">
        <v>4500000</v>
      </c>
    </row>
    <row r="53">
      <c r="B53" s="22" t="inlineStr">
        <is>
          <t>Total opex — BASE (R)</t>
        </is>
      </c>
      <c r="C53" s="62">
        <f>SUM(C48:C52)+C72</f>
        <v/>
      </c>
      <c r="D53" s="62">
        <f>SUM(D48:D52)+D72</f>
        <v/>
      </c>
      <c r="E53" s="62">
        <f>SUM(E48:E52)+E72</f>
        <v/>
      </c>
      <c r="F53" s="62">
        <f>SUM(F48:F52)+F72</f>
        <v/>
      </c>
      <c r="G53" s="62">
        <f>SUM(G48:G52)+G72</f>
        <v/>
      </c>
    </row>
    <row r="55">
      <c r="B55" s="9" t="inlineStr">
        <is>
          <t>OPEX SCALING BY SCENARIO</t>
        </is>
      </c>
      <c r="C55" s="9" t="n"/>
      <c r="D55" s="9" t="n"/>
      <c r="E55" s="9" t="n"/>
      <c r="F55" s="9" t="n"/>
      <c r="G55" s="9" t="n"/>
      <c r="H55" s="2" t="n"/>
    </row>
    <row r="56">
      <c r="B56" s="20" t="inlineStr">
        <is>
          <t>Conservative</t>
        </is>
      </c>
      <c r="C56" s="59" t="n">
        <v>0.72</v>
      </c>
    </row>
    <row r="57">
      <c r="B57" s="20" t="inlineStr">
        <is>
          <t>Base</t>
        </is>
      </c>
      <c r="C57" s="59" t="n">
        <v>1</v>
      </c>
    </row>
    <row r="58">
      <c r="B58" s="20" t="inlineStr">
        <is>
          <t>Aggressive</t>
        </is>
      </c>
      <c r="C58" s="59" t="n">
        <v>1.3</v>
      </c>
    </row>
    <row r="60">
      <c r="B60" s="9" t="inlineStr">
        <is>
          <t>ANCILLARY / ECOSYSTEM REVENUE (optional — see Ancillary Revenue tab)</t>
        </is>
      </c>
      <c r="C60" s="9" t="n"/>
      <c r="D60" s="9" t="n"/>
      <c r="E60" s="9" t="n"/>
      <c r="F60" s="9" t="n"/>
      <c r="G60" s="9" t="n"/>
      <c r="H60" s="2" t="n"/>
    </row>
    <row r="61">
      <c r="B61" s="20" t="inlineStr">
        <is>
          <t>Include ancillary in P&amp;L?  (1 = yes, 0 = no)</t>
        </is>
      </c>
      <c r="C61" s="16" t="n">
        <v>0</v>
      </c>
    </row>
    <row r="62">
      <c r="B62" s="21" t="inlineStr">
        <is>
          <t>Realistic additional captured / deal (R)</t>
        </is>
      </c>
      <c r="C62" s="61">
        <f>'Ancillary Revenue'!G22</f>
        <v/>
      </c>
    </row>
    <row r="63">
      <c r="B63" s="21" t="inlineStr">
        <is>
          <t>Ancillary added / deal (R)  = toggle x captured</t>
        </is>
      </c>
      <c r="C63" s="61">
        <f>C61*C62</f>
        <v/>
      </c>
    </row>
    <row r="65">
      <c r="B65" s="9" t="inlineStr">
        <is>
          <t>IN-HOUSE BOND ORIGINATION (from Year 2 — direct with banks)</t>
        </is>
      </c>
    </row>
    <row r="66">
      <c r="C66" s="10" t="inlineStr">
        <is>
          <t>Y1</t>
        </is>
      </c>
      <c r="D66" s="10" t="inlineStr">
        <is>
          <t>Y2</t>
        </is>
      </c>
      <c r="E66" s="10" t="inlineStr">
        <is>
          <t>Y3</t>
        </is>
      </c>
      <c r="F66" s="10" t="inlineStr">
        <is>
          <t>Y4</t>
        </is>
      </c>
      <c r="G66" s="10" t="inlineStr">
        <is>
          <t>Y5</t>
        </is>
      </c>
    </row>
    <row r="67">
      <c r="B67" s="20" t="inlineStr">
        <is>
          <t>Origination rate applied (Y1 ooba referral → Y2+ in-house, direct-to-bank)</t>
        </is>
      </c>
      <c r="C67" s="12">
        <f>$C$5</f>
        <v/>
      </c>
      <c r="D67" s="12" t="n">
        <v>0.015</v>
      </c>
      <c r="E67" s="12" t="n">
        <v>0.015</v>
      </c>
      <c r="F67" s="12" t="n">
        <v>0.015</v>
      </c>
      <c r="G67" s="12" t="n">
        <v>0.015</v>
      </c>
    </row>
    <row r="68">
      <c r="B68" s="20" t="inlineStr">
        <is>
          <t>In-house origination — cost per bonded deal (R)</t>
        </is>
      </c>
      <c r="C68" s="60" t="n">
        <v>0</v>
      </c>
      <c r="D68" s="60" t="n">
        <v>6000</v>
      </c>
      <c r="E68" s="60" t="n">
        <v>6000</v>
      </c>
      <c r="F68" s="60" t="n">
        <v>6000</v>
      </c>
      <c r="G68" s="60" t="n">
        <v>6000</v>
      </c>
    </row>
    <row r="69">
      <c r="B69" s="20" t="inlineStr">
        <is>
          <t>In-house origination — bank-aggregation / licensing base (R/yr)</t>
        </is>
      </c>
      <c r="C69" s="60" t="n">
        <v>0</v>
      </c>
      <c r="D69" s="60" t="n">
        <v>800000</v>
      </c>
      <c r="E69" s="60" t="n">
        <v>1000000</v>
      </c>
      <c r="F69" s="60" t="n">
        <v>1200000</v>
      </c>
      <c r="G69" s="60" t="n">
        <v>1500000</v>
      </c>
    </row>
    <row r="70">
      <c r="B70" s="20" t="inlineStr">
        <is>
          <t>In-house origination — one-off setup / licensing (Y2) (R)</t>
        </is>
      </c>
      <c r="C70" s="60" t="n">
        <v>0</v>
      </c>
      <c r="D70" s="60" t="n">
        <v>1500000</v>
      </c>
      <c r="E70" s="60" t="n">
        <v>0</v>
      </c>
      <c r="F70" s="60" t="n">
        <v>0</v>
      </c>
      <c r="G70" s="60" t="n">
        <v>0</v>
      </c>
    </row>
    <row r="71">
      <c r="B71" s="22" t="inlineStr">
        <is>
          <t>Bonded registered deals (base) = deals x bonded share</t>
        </is>
      </c>
      <c r="C71" s="62">
        <f>C32*C16</f>
        <v/>
      </c>
      <c r="D71" s="62">
        <f>D32*D16</f>
        <v/>
      </c>
      <c r="E71" s="62">
        <f>E32*E16</f>
        <v/>
      </c>
      <c r="F71" s="62">
        <f>F32*F16</f>
        <v/>
      </c>
      <c r="G71" s="62">
        <f>G32*G16</f>
        <v/>
      </c>
    </row>
    <row r="72">
      <c r="B72" s="22" t="inlineStr">
        <is>
          <t>Bond origination cost — in-house (R)</t>
        </is>
      </c>
      <c r="C72" s="62">
        <f>C71*C68+C69+C70</f>
        <v/>
      </c>
      <c r="D72" s="62">
        <f>D71*D68+D69+D70</f>
        <v/>
      </c>
      <c r="E72" s="62">
        <f>E71*E68+E69+E70</f>
        <v/>
      </c>
      <c r="F72" s="62">
        <f>F71*F68+F69+F70</f>
        <v/>
      </c>
      <c r="G72" s="62">
        <f>G71*G68+G69+G70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65F46"/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10" defaultColWidth="8.83203125" defaultRowHeight="15"/>
  <cols>
    <col width="1" customWidth="1" min="1" max="1"/>
    <col width="43.33203125" customWidth="1" min="2" max="2"/>
    <col width="21.6640625" customWidth="1" min="3" max="7"/>
  </cols>
  <sheetData>
    <row r="1" ht="21" customHeight="1">
      <c r="B1" s="8" t="inlineStr">
        <is>
          <t>Base Case P&amp;L  (R unless noted)</t>
        </is>
      </c>
    </row>
    <row r="3">
      <c r="C3" s="23" t="inlineStr">
        <is>
          <t>Y1</t>
        </is>
      </c>
      <c r="D3" s="23" t="inlineStr">
        <is>
          <t>Y2</t>
        </is>
      </c>
      <c r="E3" s="23" t="inlineStr">
        <is>
          <t>Y3</t>
        </is>
      </c>
      <c r="F3" s="23" t="inlineStr">
        <is>
          <t>Y4</t>
        </is>
      </c>
      <c r="G3" s="23" t="inlineStr">
        <is>
          <t>Y5</t>
        </is>
      </c>
    </row>
    <row r="4">
      <c r="B4" s="24" t="inlineStr">
        <is>
          <t>Registered deals</t>
        </is>
      </c>
      <c r="C4" s="4">
        <f>Assumptions!C32</f>
        <v/>
      </c>
      <c r="D4" s="4">
        <f>Assumptions!D32</f>
        <v/>
      </c>
      <c r="E4" s="4">
        <f>Assumptions!E32</f>
        <v/>
      </c>
      <c r="F4" s="4">
        <f>Assumptions!F32</f>
        <v/>
      </c>
      <c r="G4" s="4">
        <f>Assumptions!G32</f>
        <v/>
      </c>
    </row>
    <row r="5">
      <c r="B5" s="24" t="inlineStr">
        <is>
          <t>Revenue per deal (R, incl. ancillary if on)</t>
        </is>
      </c>
      <c r="C5" s="63">
        <f>Assumptions!C23*Assumptions!$C$37+Assumptions!$C$63</f>
        <v/>
      </c>
      <c r="D5" s="63">
        <f>Assumptions!D23*Assumptions!$C$37+Assumptions!$C$63</f>
        <v/>
      </c>
      <c r="E5" s="63">
        <f>Assumptions!E23*Assumptions!$C$37+Assumptions!$C$63</f>
        <v/>
      </c>
      <c r="F5" s="63">
        <f>Assumptions!F23*Assumptions!$C$37+Assumptions!$C$63</f>
        <v/>
      </c>
      <c r="G5" s="63">
        <f>Assumptions!G23*Assumptions!$C$37+Assumptions!$C$63</f>
        <v/>
      </c>
    </row>
    <row r="6">
      <c r="B6" s="24" t="inlineStr">
        <is>
          <t>Transactional revenue</t>
        </is>
      </c>
      <c r="C6" s="63">
        <f>C4*C5</f>
        <v/>
      </c>
      <c r="D6" s="63">
        <f>D4*D5</f>
        <v/>
      </c>
      <c r="E6" s="63">
        <f>E4*E5</f>
        <v/>
      </c>
      <c r="F6" s="63">
        <f>F4*F5</f>
        <v/>
      </c>
      <c r="G6" s="63">
        <f>G4*G5</f>
        <v/>
      </c>
    </row>
    <row r="7">
      <c r="B7" s="24" t="inlineStr">
        <is>
          <t>Bank sponsorship</t>
        </is>
      </c>
      <c r="C7" s="63">
        <f>Assumptions!C27</f>
        <v/>
      </c>
      <c r="D7" s="63">
        <f>Assumptions!D27</f>
        <v/>
      </c>
      <c r="E7" s="63">
        <f>Assumptions!E27</f>
        <v/>
      </c>
      <c r="F7" s="63">
        <f>Assumptions!F27</f>
        <v/>
      </c>
      <c r="G7" s="63">
        <f>Assumptions!G27</f>
        <v/>
      </c>
    </row>
    <row r="8">
      <c r="B8" s="30" t="inlineStr">
        <is>
          <t>Total revenue</t>
        </is>
      </c>
      <c r="C8" s="64">
        <f>C6+C7</f>
        <v/>
      </c>
      <c r="D8" s="64">
        <f>D6+D7</f>
        <v/>
      </c>
      <c r="E8" s="64">
        <f>E6+E7</f>
        <v/>
      </c>
      <c r="F8" s="64">
        <f>F6+F7</f>
        <v/>
      </c>
      <c r="G8" s="64">
        <f>G6+G7</f>
        <v/>
      </c>
    </row>
    <row r="9">
      <c r="B9" s="24" t="inlineStr">
        <is>
          <t>COGS</t>
        </is>
      </c>
      <c r="C9" s="63">
        <f>-C8*(1-Assumptions!$C$7)</f>
        <v/>
      </c>
      <c r="D9" s="63">
        <f>-D8*(1-Assumptions!$C$7)</f>
        <v/>
      </c>
      <c r="E9" s="63">
        <f>-E8*(1-Assumptions!$C$7)</f>
        <v/>
      </c>
      <c r="F9" s="63">
        <f>-F8*(1-Assumptions!$C$7)</f>
        <v/>
      </c>
      <c r="G9" s="63">
        <f>-G8*(1-Assumptions!$C$7)</f>
        <v/>
      </c>
    </row>
    <row r="10">
      <c r="B10" s="33" t="inlineStr">
        <is>
          <t>Gross profit</t>
        </is>
      </c>
      <c r="C10" s="65">
        <f>C8*Assumptions!$C$7</f>
        <v/>
      </c>
      <c r="D10" s="65">
        <f>D8*Assumptions!$C$7</f>
        <v/>
      </c>
      <c r="E10" s="65">
        <f>E8*Assumptions!$C$7</f>
        <v/>
      </c>
      <c r="F10" s="65">
        <f>F8*Assumptions!$C$7</f>
        <v/>
      </c>
      <c r="G10" s="65">
        <f>G8*Assumptions!$C$7</f>
        <v/>
      </c>
    </row>
    <row r="11">
      <c r="B11" s="24" t="inlineStr">
        <is>
          <t>Gross margin</t>
        </is>
      </c>
      <c r="C11" s="5">
        <f>IF(C8=0,"",C10/C8)</f>
        <v/>
      </c>
      <c r="D11" s="5">
        <f>IF(D8=0,"",D10/D8)</f>
        <v/>
      </c>
      <c r="E11" s="5">
        <f>IF(E8=0,"",E10/E8)</f>
        <v/>
      </c>
      <c r="F11" s="5">
        <f>IF(F8=0,"",F10/F8)</f>
        <v/>
      </c>
      <c r="G11" s="5">
        <f>IF(G8=0,"",G10/G8)</f>
        <v/>
      </c>
    </row>
    <row r="12">
      <c r="B12" s="24" t="inlineStr">
        <is>
          <t>Payroll + AI agents</t>
        </is>
      </c>
      <c r="C12" s="63">
        <f>Assumptions!C48</f>
        <v/>
      </c>
      <c r="D12" s="63">
        <f>Assumptions!D48</f>
        <v/>
      </c>
      <c r="E12" s="63">
        <f>Assumptions!E48</f>
        <v/>
      </c>
      <c r="F12" s="63">
        <f>Assumptions!F48</f>
        <v/>
      </c>
      <c r="G12" s="63">
        <f>Assumptions!G48</f>
        <v/>
      </c>
    </row>
    <row r="13">
      <c r="B13" s="24" t="inlineStr">
        <is>
          <t>Marketing</t>
        </is>
      </c>
      <c r="C13" s="63">
        <f>Assumptions!C49</f>
        <v/>
      </c>
      <c r="D13" s="63">
        <f>Assumptions!D49</f>
        <v/>
      </c>
      <c r="E13" s="63">
        <f>Assumptions!E49</f>
        <v/>
      </c>
      <c r="F13" s="63">
        <f>Assumptions!F49</f>
        <v/>
      </c>
      <c r="G13" s="63">
        <f>Assumptions!G49</f>
        <v/>
      </c>
    </row>
    <row r="14">
      <c r="B14" s="24" t="inlineStr">
        <is>
          <t>Tech &amp; tools</t>
        </is>
      </c>
      <c r="C14" s="63">
        <f>Assumptions!C50</f>
        <v/>
      </c>
      <c r="D14" s="63">
        <f>Assumptions!D50</f>
        <v/>
      </c>
      <c r="E14" s="63">
        <f>Assumptions!E50</f>
        <v/>
      </c>
      <c r="F14" s="63">
        <f>Assumptions!F50</f>
        <v/>
      </c>
      <c r="G14" s="63">
        <f>Assumptions!G50</f>
        <v/>
      </c>
    </row>
    <row r="15">
      <c r="B15" s="24" t="inlineStr">
        <is>
          <t>Legal / compliance / insurance</t>
        </is>
      </c>
      <c r="C15" s="63">
        <f>Assumptions!C51</f>
        <v/>
      </c>
      <c r="D15" s="63">
        <f>Assumptions!D51</f>
        <v/>
      </c>
      <c r="E15" s="63">
        <f>Assumptions!E51</f>
        <v/>
      </c>
      <c r="F15" s="63">
        <f>Assumptions!F51</f>
        <v/>
      </c>
      <c r="G15" s="63">
        <f>Assumptions!G51</f>
        <v/>
      </c>
    </row>
    <row r="16">
      <c r="B16" s="24" t="inlineStr">
        <is>
          <t>G&amp;A / office / other</t>
        </is>
      </c>
      <c r="C16" s="63">
        <f>Assumptions!C52</f>
        <v/>
      </c>
      <c r="D16" s="63">
        <f>Assumptions!D52</f>
        <v/>
      </c>
      <c r="E16" s="63">
        <f>Assumptions!E52</f>
        <v/>
      </c>
      <c r="F16" s="63">
        <f>Assumptions!F52</f>
        <v/>
      </c>
      <c r="G16" s="63">
        <f>Assumptions!G52</f>
        <v/>
      </c>
    </row>
    <row r="17">
      <c r="B17" s="24" t="inlineStr">
        <is>
          <t>Bond origination (in-house)</t>
        </is>
      </c>
      <c r="C17" s="63">
        <f>Assumptions!C72</f>
        <v/>
      </c>
      <c r="D17" s="63">
        <f>Assumptions!D72</f>
        <v/>
      </c>
      <c r="E17" s="63">
        <f>Assumptions!E72</f>
        <v/>
      </c>
      <c r="F17" s="63">
        <f>Assumptions!F72</f>
        <v/>
      </c>
      <c r="G17" s="63">
        <f>Assumptions!G72</f>
        <v/>
      </c>
    </row>
    <row r="18">
      <c r="B18" s="33" t="inlineStr">
        <is>
          <t>Total operating expenses</t>
        </is>
      </c>
      <c r="C18" s="65">
        <f>SUM(C12:C17)</f>
        <v/>
      </c>
      <c r="D18" s="65">
        <f>SUM(D12:D17)</f>
        <v/>
      </c>
      <c r="E18" s="65">
        <f>SUM(E12:E17)</f>
        <v/>
      </c>
      <c r="F18" s="65">
        <f>SUM(F12:F17)</f>
        <v/>
      </c>
      <c r="G18" s="65">
        <f>SUM(G12:G17)</f>
        <v/>
      </c>
    </row>
    <row r="19">
      <c r="B19" s="30" t="inlineStr">
        <is>
          <t>EBITDA</t>
        </is>
      </c>
      <c r="C19" s="64">
        <f>C10-C18</f>
        <v/>
      </c>
      <c r="D19" s="64">
        <f>D10-D18</f>
        <v/>
      </c>
      <c r="E19" s="64">
        <f>E10-E18</f>
        <v/>
      </c>
      <c r="F19" s="64">
        <f>F10-F18</f>
        <v/>
      </c>
      <c r="G19" s="64">
        <f>G10-G18</f>
        <v/>
      </c>
    </row>
    <row r="20">
      <c r="B20" s="24" t="inlineStr">
        <is>
          <t>EBITDA margin</t>
        </is>
      </c>
      <c r="C20" s="5">
        <f>IF(C8=0,"",C19/C8)</f>
        <v/>
      </c>
      <c r="D20" s="5">
        <f>IF(D8=0,"",D19/D8)</f>
        <v/>
      </c>
      <c r="E20" s="5">
        <f>IF(E8=0,"",E19/E8)</f>
        <v/>
      </c>
      <c r="F20" s="5">
        <f>IF(F8=0,"",F19/F8)</f>
        <v/>
      </c>
      <c r="G20" s="5">
        <f>IF(G8=0,"",G19/G8)</f>
        <v/>
      </c>
    </row>
    <row r="21">
      <c r="B21" s="33" t="inlineStr">
        <is>
          <t>Cumulative EBITDA (cash proxy)</t>
        </is>
      </c>
      <c r="C21" s="65">
        <f>C19</f>
        <v/>
      </c>
      <c r="D21" s="65">
        <f>C21+D19</f>
        <v/>
      </c>
      <c r="E21" s="65">
        <f>D21+E19</f>
        <v/>
      </c>
      <c r="F21" s="65">
        <f>E21+F19</f>
        <v/>
      </c>
      <c r="G21" s="65">
        <f>F21+G19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65F46"/>
    <outlinePr summaryBelow="1" summaryRight="1"/>
    <pageSetUpPr/>
  </sheetPr>
  <dimension ref="B1:H60"/>
  <sheetViews>
    <sheetView showGridLines="0" workbookViewId="0">
      <selection activeCell="A1" sqref="A1"/>
    </sheetView>
  </sheetViews>
  <sheetFormatPr baseColWidth="10" defaultColWidth="8.83203125" defaultRowHeight="15"/>
  <cols>
    <col width="1" customWidth="1" min="1" max="1"/>
    <col width="40" customWidth="1" min="2" max="2"/>
    <col width="21.6640625" customWidth="1" min="3" max="7"/>
  </cols>
  <sheetData>
    <row r="1" ht="21" customHeight="1">
      <c r="B1" s="8" t="inlineStr">
        <is>
          <t>Scenario Comparison  (R)</t>
        </is>
      </c>
    </row>
    <row r="3">
      <c r="B3" s="9" t="inlineStr">
        <is>
          <t>CONSERVATIVE</t>
        </is>
      </c>
      <c r="C3" s="9" t="n"/>
      <c r="D3" s="9" t="n"/>
      <c r="E3" s="9" t="n"/>
      <c r="F3" s="9" t="n"/>
      <c r="G3" s="9" t="n"/>
      <c r="H3" s="2" t="n"/>
    </row>
    <row r="4">
      <c r="C4" s="10" t="inlineStr">
        <is>
          <t>Y1</t>
        </is>
      </c>
      <c r="D4" s="10" t="inlineStr">
        <is>
          <t>Y2</t>
        </is>
      </c>
      <c r="E4" s="10" t="inlineStr">
        <is>
          <t>Y3</t>
        </is>
      </c>
      <c r="F4" s="10" t="inlineStr">
        <is>
          <t>Y4</t>
        </is>
      </c>
      <c r="G4" s="10" t="inlineStr">
        <is>
          <t>Y5</t>
        </is>
      </c>
    </row>
    <row r="5">
      <c r="B5" s="25" t="inlineStr">
        <is>
          <t>Revenue</t>
        </is>
      </c>
      <c r="C5" s="66">
        <f>Assumptions!C31*(Assumptions!C23*Assumptions!$C$36+Assumptions!$C$63)+Assumptions!C27</f>
        <v/>
      </c>
      <c r="D5" s="66">
        <f>Assumptions!D31*(Assumptions!D23*Assumptions!$C$36+Assumptions!$C$63)+Assumptions!D27</f>
        <v/>
      </c>
      <c r="E5" s="66">
        <f>Assumptions!E31*(Assumptions!E23*Assumptions!$C$36+Assumptions!$C$63)+Assumptions!E27</f>
        <v/>
      </c>
      <c r="F5" s="66">
        <f>Assumptions!F31*(Assumptions!F23*Assumptions!$C$36+Assumptions!$C$63)+Assumptions!F27</f>
        <v/>
      </c>
      <c r="G5" s="66">
        <f>Assumptions!G31*(Assumptions!G23*Assumptions!$C$36+Assumptions!$C$63)+Assumptions!G27</f>
        <v/>
      </c>
    </row>
    <row r="6">
      <c r="B6" s="24" t="inlineStr">
        <is>
          <t>Gross profit</t>
        </is>
      </c>
      <c r="C6" s="63">
        <f>C5*Assumptions!$C$7</f>
        <v/>
      </c>
      <c r="D6" s="63">
        <f>D5*Assumptions!$C$7</f>
        <v/>
      </c>
      <c r="E6" s="63">
        <f>E5*Assumptions!$C$7</f>
        <v/>
      </c>
      <c r="F6" s="63">
        <f>F5*Assumptions!$C$7</f>
        <v/>
      </c>
      <c r="G6" s="63">
        <f>G5*Assumptions!$C$7</f>
        <v/>
      </c>
    </row>
    <row r="7">
      <c r="B7" s="24" t="inlineStr">
        <is>
          <t>Operating expenses</t>
        </is>
      </c>
      <c r="C7" s="63">
        <f>Assumptions!C53*Assumptions!$C$56</f>
        <v/>
      </c>
      <c r="D7" s="63">
        <f>Assumptions!D53*Assumptions!$C$56</f>
        <v/>
      </c>
      <c r="E7" s="63">
        <f>Assumptions!E53*Assumptions!$C$56</f>
        <v/>
      </c>
      <c r="F7" s="63">
        <f>Assumptions!F53*Assumptions!$C$56</f>
        <v/>
      </c>
      <c r="G7" s="63">
        <f>Assumptions!G53*Assumptions!$C$56</f>
        <v/>
      </c>
    </row>
    <row r="8">
      <c r="B8" s="28" t="inlineStr">
        <is>
          <t>EBITDA</t>
        </is>
      </c>
      <c r="C8" s="67">
        <f>C6-C7</f>
        <v/>
      </c>
      <c r="D8" s="67">
        <f>D6-D7</f>
        <v/>
      </c>
      <c r="E8" s="67">
        <f>E6-E7</f>
        <v/>
      </c>
      <c r="F8" s="67">
        <f>F6-F7</f>
        <v/>
      </c>
      <c r="G8" s="67">
        <f>G6-G7</f>
        <v/>
      </c>
    </row>
    <row r="9">
      <c r="B9" s="38" t="inlineStr">
        <is>
          <t>Cumulative EBITDA</t>
        </is>
      </c>
      <c r="C9" s="68">
        <f>C8</f>
        <v/>
      </c>
      <c r="D9" s="68">
        <f>C9+D8</f>
        <v/>
      </c>
      <c r="E9" s="68">
        <f>D9+E8</f>
        <v/>
      </c>
      <c r="F9" s="68">
        <f>E9+F8</f>
        <v/>
      </c>
      <c r="G9" s="68">
        <f>F9+G8</f>
        <v/>
      </c>
    </row>
    <row r="10" hidden="1">
      <c r="B10" s="42" t="inlineStr">
        <is>
          <t>profit-year helper</t>
        </is>
      </c>
      <c r="C10" s="40">
        <f>IF(C8&gt;0,C$60,99)</f>
        <v/>
      </c>
      <c r="D10" s="40">
        <f>IF(D8&gt;0,D$60,99)</f>
        <v/>
      </c>
      <c r="E10" s="40">
        <f>IF(E8&gt;0,E$60,99)</f>
        <v/>
      </c>
      <c r="F10" s="40">
        <f>IF(F8&gt;0,F$60,99)</f>
        <v/>
      </c>
      <c r="G10" s="40">
        <f>IF(G8&gt;0,G$60,99)</f>
        <v/>
      </c>
    </row>
    <row r="11">
      <c r="B11" s="35" t="n"/>
    </row>
    <row r="12">
      <c r="B12" s="35" t="n"/>
    </row>
    <row r="13">
      <c r="B13" s="36" t="inlineStr">
        <is>
          <t>BASE</t>
        </is>
      </c>
      <c r="C13" s="9" t="n"/>
      <c r="D13" s="9" t="n"/>
      <c r="E13" s="9" t="n"/>
      <c r="F13" s="9" t="n"/>
      <c r="G13" s="9" t="n"/>
      <c r="H13" s="2" t="n"/>
    </row>
    <row r="14">
      <c r="B14" s="35" t="n"/>
      <c r="C14" s="10" t="inlineStr">
        <is>
          <t>Y1</t>
        </is>
      </c>
      <c r="D14" s="10" t="inlineStr">
        <is>
          <t>Y2</t>
        </is>
      </c>
      <c r="E14" s="10" t="inlineStr">
        <is>
          <t>Y3</t>
        </is>
      </c>
      <c r="F14" s="10" t="inlineStr">
        <is>
          <t>Y4</t>
        </is>
      </c>
      <c r="G14" s="10" t="inlineStr">
        <is>
          <t>Y5</t>
        </is>
      </c>
    </row>
    <row r="15">
      <c r="B15" s="25" t="inlineStr">
        <is>
          <t>Revenue</t>
        </is>
      </c>
      <c r="C15" s="66">
        <f>Assumptions!C32*(Assumptions!C23*Assumptions!$C$37+Assumptions!$C$63)+Assumptions!C27</f>
        <v/>
      </c>
      <c r="D15" s="66">
        <f>Assumptions!D32*(Assumptions!D23*Assumptions!$C$37+Assumptions!$C$63)+Assumptions!D27</f>
        <v/>
      </c>
      <c r="E15" s="66">
        <f>Assumptions!E32*(Assumptions!E23*Assumptions!$C$37+Assumptions!$C$63)+Assumptions!E27</f>
        <v/>
      </c>
      <c r="F15" s="66">
        <f>Assumptions!F32*(Assumptions!F23*Assumptions!$C$37+Assumptions!$C$63)+Assumptions!F27</f>
        <v/>
      </c>
      <c r="G15" s="66">
        <f>Assumptions!G32*(Assumptions!G23*Assumptions!$C$37+Assumptions!$C$63)+Assumptions!G27</f>
        <v/>
      </c>
    </row>
    <row r="16">
      <c r="B16" s="24" t="inlineStr">
        <is>
          <t>Gross profit</t>
        </is>
      </c>
      <c r="C16" s="63">
        <f>C15*Assumptions!$C$7</f>
        <v/>
      </c>
      <c r="D16" s="63">
        <f>D15*Assumptions!$C$7</f>
        <v/>
      </c>
      <c r="E16" s="63">
        <f>E15*Assumptions!$C$7</f>
        <v/>
      </c>
      <c r="F16" s="63">
        <f>F15*Assumptions!$C$7</f>
        <v/>
      </c>
      <c r="G16" s="63">
        <f>G15*Assumptions!$C$7</f>
        <v/>
      </c>
    </row>
    <row r="17">
      <c r="B17" s="24" t="inlineStr">
        <is>
          <t>Operating expenses</t>
        </is>
      </c>
      <c r="C17" s="63">
        <f>Assumptions!C53*Assumptions!$C$57</f>
        <v/>
      </c>
      <c r="D17" s="63">
        <f>Assumptions!D53*Assumptions!$C$57</f>
        <v/>
      </c>
      <c r="E17" s="63">
        <f>Assumptions!E53*Assumptions!$C$57</f>
        <v/>
      </c>
      <c r="F17" s="63">
        <f>Assumptions!F53*Assumptions!$C$57</f>
        <v/>
      </c>
      <c r="G17" s="63">
        <f>Assumptions!G53*Assumptions!$C$57</f>
        <v/>
      </c>
    </row>
    <row r="18">
      <c r="B18" s="28" t="inlineStr">
        <is>
          <t>EBITDA</t>
        </is>
      </c>
      <c r="C18" s="67">
        <f>C16-C17</f>
        <v/>
      </c>
      <c r="D18" s="67">
        <f>D16-D17</f>
        <v/>
      </c>
      <c r="E18" s="67">
        <f>E16-E17</f>
        <v/>
      </c>
      <c r="F18" s="67">
        <f>F16-F17</f>
        <v/>
      </c>
      <c r="G18" s="67">
        <f>G16-G17</f>
        <v/>
      </c>
    </row>
    <row r="19">
      <c r="B19" s="38" t="inlineStr">
        <is>
          <t>Cumulative EBITDA</t>
        </is>
      </c>
      <c r="C19" s="68">
        <f>C18</f>
        <v/>
      </c>
      <c r="D19" s="68">
        <f>C19+D18</f>
        <v/>
      </c>
      <c r="E19" s="68">
        <f>D19+E18</f>
        <v/>
      </c>
      <c r="F19" s="68">
        <f>E19+F18</f>
        <v/>
      </c>
      <c r="G19" s="68">
        <f>F19+G18</f>
        <v/>
      </c>
    </row>
    <row r="20" hidden="1">
      <c r="B20" s="42" t="inlineStr">
        <is>
          <t>profit-year helper</t>
        </is>
      </c>
      <c r="C20" s="40">
        <f>IF(C18&gt;0,C$60,99)</f>
        <v/>
      </c>
      <c r="D20" s="40">
        <f>IF(D18&gt;0,D$60,99)</f>
        <v/>
      </c>
      <c r="E20" s="40">
        <f>IF(E18&gt;0,E$60,99)</f>
        <v/>
      </c>
      <c r="F20" s="40">
        <f>IF(F18&gt;0,F$60,99)</f>
        <v/>
      </c>
      <c r="G20" s="40">
        <f>IF(G18&gt;0,G$60,99)</f>
        <v/>
      </c>
    </row>
    <row r="21">
      <c r="B21" s="35" t="n"/>
    </row>
    <row r="22">
      <c r="B22" s="35" t="n"/>
    </row>
    <row r="23">
      <c r="B23" s="36" t="inlineStr">
        <is>
          <t>AGGRESSIVE</t>
        </is>
      </c>
      <c r="C23" s="9" t="n"/>
      <c r="D23" s="9" t="n"/>
      <c r="E23" s="9" t="n"/>
      <c r="F23" s="9" t="n"/>
      <c r="G23" s="9" t="n"/>
      <c r="H23" s="2" t="n"/>
    </row>
    <row r="24">
      <c r="B24" s="35" t="n"/>
      <c r="C24" s="10" t="inlineStr">
        <is>
          <t>Y1</t>
        </is>
      </c>
      <c r="D24" s="10" t="inlineStr">
        <is>
          <t>Y2</t>
        </is>
      </c>
      <c r="E24" s="10" t="inlineStr">
        <is>
          <t>Y3</t>
        </is>
      </c>
      <c r="F24" s="10" t="inlineStr">
        <is>
          <t>Y4</t>
        </is>
      </c>
      <c r="G24" s="10" t="inlineStr">
        <is>
          <t>Y5</t>
        </is>
      </c>
    </row>
    <row r="25">
      <c r="B25" s="25" t="inlineStr">
        <is>
          <t>Revenue</t>
        </is>
      </c>
      <c r="C25" s="66">
        <f>Assumptions!C33*(Assumptions!C23*Assumptions!$C$38+Assumptions!$C$63)+Assumptions!C27</f>
        <v/>
      </c>
      <c r="D25" s="66">
        <f>Assumptions!D33*(Assumptions!D23*Assumptions!$C$38+Assumptions!$C$63)+Assumptions!D27</f>
        <v/>
      </c>
      <c r="E25" s="66">
        <f>Assumptions!E33*(Assumptions!E23*Assumptions!$C$38+Assumptions!$C$63)+Assumptions!E27</f>
        <v/>
      </c>
      <c r="F25" s="66">
        <f>Assumptions!F33*(Assumptions!F23*Assumptions!$C$38+Assumptions!$C$63)+Assumptions!F27</f>
        <v/>
      </c>
      <c r="G25" s="66">
        <f>Assumptions!G33*(Assumptions!G23*Assumptions!$C$38+Assumptions!$C$63)+Assumptions!G27</f>
        <v/>
      </c>
    </row>
    <row r="26">
      <c r="B26" s="24" t="inlineStr">
        <is>
          <t>Gross profit</t>
        </is>
      </c>
      <c r="C26" s="63">
        <f>C25*Assumptions!$C$7</f>
        <v/>
      </c>
      <c r="D26" s="63">
        <f>D25*Assumptions!$C$7</f>
        <v/>
      </c>
      <c r="E26" s="63">
        <f>E25*Assumptions!$C$7</f>
        <v/>
      </c>
      <c r="F26" s="63">
        <f>F25*Assumptions!$C$7</f>
        <v/>
      </c>
      <c r="G26" s="63">
        <f>G25*Assumptions!$C$7</f>
        <v/>
      </c>
    </row>
    <row r="27">
      <c r="B27" s="24" t="inlineStr">
        <is>
          <t>Operating expenses</t>
        </is>
      </c>
      <c r="C27" s="63">
        <f>Assumptions!C53*Assumptions!$C$58</f>
        <v/>
      </c>
      <c r="D27" s="63">
        <f>Assumptions!D53*Assumptions!$C$58</f>
        <v/>
      </c>
      <c r="E27" s="63">
        <f>Assumptions!E53*Assumptions!$C$58</f>
        <v/>
      </c>
      <c r="F27" s="63">
        <f>Assumptions!F53*Assumptions!$C$58</f>
        <v/>
      </c>
      <c r="G27" s="63">
        <f>Assumptions!G53*Assumptions!$C$58</f>
        <v/>
      </c>
    </row>
    <row r="28">
      <c r="B28" s="28" t="inlineStr">
        <is>
          <t>EBITDA</t>
        </is>
      </c>
      <c r="C28" s="67">
        <f>C26-C27</f>
        <v/>
      </c>
      <c r="D28" s="67">
        <f>D26-D27</f>
        <v/>
      </c>
      <c r="E28" s="67">
        <f>E26-E27</f>
        <v/>
      </c>
      <c r="F28" s="67">
        <f>F26-F27</f>
        <v/>
      </c>
      <c r="G28" s="67">
        <f>G26-G27</f>
        <v/>
      </c>
    </row>
    <row r="29">
      <c r="B29" s="38" t="inlineStr">
        <is>
          <t>Cumulative EBITDA</t>
        </is>
      </c>
      <c r="C29" s="68">
        <f>C28</f>
        <v/>
      </c>
      <c r="D29" s="68">
        <f>C29+D28</f>
        <v/>
      </c>
      <c r="E29" s="68">
        <f>D29+E28</f>
        <v/>
      </c>
      <c r="F29" s="68">
        <f>E29+F28</f>
        <v/>
      </c>
      <c r="G29" s="68">
        <f>F29+G28</f>
        <v/>
      </c>
    </row>
    <row r="30" hidden="1">
      <c r="B30" s="42" t="inlineStr">
        <is>
          <t>profit-year helper</t>
        </is>
      </c>
      <c r="C30" s="40">
        <f>IF(C28&gt;0,C$60,99)</f>
        <v/>
      </c>
      <c r="D30" s="40">
        <f>IF(D28&gt;0,D$60,99)</f>
        <v/>
      </c>
      <c r="E30" s="40">
        <f>IF(E28&gt;0,E$60,99)</f>
        <v/>
      </c>
      <c r="F30" s="40">
        <f>IF(F28&gt;0,F$60,99)</f>
        <v/>
      </c>
      <c r="G30" s="40">
        <f>IF(G28&gt;0,G$60,99)</f>
        <v/>
      </c>
    </row>
    <row r="31">
      <c r="B31" s="35" t="n"/>
    </row>
    <row r="32">
      <c r="B32" s="35" t="n"/>
    </row>
    <row r="33">
      <c r="B33" s="35" t="n"/>
    </row>
    <row r="34">
      <c r="B34" s="36" t="inlineStr">
        <is>
          <t>SUMMARY</t>
        </is>
      </c>
      <c r="C34" s="9" t="n"/>
      <c r="D34" s="9" t="n"/>
      <c r="E34" s="9" t="n"/>
      <c r="F34" s="9" t="n"/>
      <c r="G34" s="9" t="n"/>
      <c r="H34" s="2" t="n"/>
    </row>
    <row r="35">
      <c r="B35" s="37" t="n"/>
      <c r="C35" s="10" t="inlineStr">
        <is>
          <t>Conservative</t>
        </is>
      </c>
      <c r="D35" s="10" t="inlineStr">
        <is>
          <t>Base</t>
        </is>
      </c>
      <c r="E35" s="10" t="inlineStr">
        <is>
          <t>Aggressive</t>
        </is>
      </c>
    </row>
    <row r="36">
      <c r="B36" s="32" t="inlineStr">
        <is>
          <t>Y5 revenue</t>
        </is>
      </c>
      <c r="C36" s="66">
        <f>G5</f>
        <v/>
      </c>
      <c r="D36" s="66">
        <f>G15</f>
        <v/>
      </c>
      <c r="E36" s="66">
        <f>G25</f>
        <v/>
      </c>
    </row>
    <row r="37">
      <c r="B37" s="32" t="inlineStr">
        <is>
          <t>Y5 EBITDA</t>
        </is>
      </c>
      <c r="C37" s="66">
        <f>G8</f>
        <v/>
      </c>
      <c r="D37" s="66">
        <f>G18</f>
        <v/>
      </c>
      <c r="E37" s="66">
        <f>G28</f>
        <v/>
      </c>
    </row>
    <row r="38">
      <c r="B38" s="32" t="inlineStr">
        <is>
          <t>Y5 EBITDA margin</t>
        </is>
      </c>
      <c r="C38" s="5">
        <f>IF(G5=0,"",G8/G5)</f>
        <v/>
      </c>
      <c r="D38" s="5">
        <f>IF(G15=0,"",G18/G15)</f>
        <v/>
      </c>
      <c r="E38" s="5">
        <f>IF(G25=0,"",G28/G25)</f>
        <v/>
      </c>
    </row>
    <row r="39">
      <c r="B39" s="32" t="inlineStr">
        <is>
          <t>Cumulative cash low-point</t>
        </is>
      </c>
      <c r="C39" s="63">
        <f>MIN(C9:G9)</f>
        <v/>
      </c>
      <c r="D39" s="63">
        <f>MIN(C19:G19)</f>
        <v/>
      </c>
      <c r="E39" s="63">
        <f>MIN(C29:G29)</f>
        <v/>
      </c>
    </row>
    <row r="40">
      <c r="B40" s="32" t="inlineStr">
        <is>
          <t>Capital need incl. buffer</t>
        </is>
      </c>
      <c r="C40" s="66">
        <f>-MIN(C9:G9)+Assumptions!$C$11</f>
        <v/>
      </c>
      <c r="D40" s="66">
        <f>-MIN(C19:G19)+Assumptions!$C$11</f>
        <v/>
      </c>
      <c r="E40" s="66">
        <f>-MIN(C29:G29)+Assumptions!$C$11</f>
        <v/>
      </c>
    </row>
    <row r="41">
      <c r="B41" s="24" t="inlineStr">
        <is>
          <t>First EBITDA-positive year</t>
        </is>
      </c>
      <c r="C41" s="6">
        <f>"Y"&amp;MIN(C10:G10)</f>
        <v/>
      </c>
      <c r="D41" s="6">
        <f>"Y"&amp;MIN(C20:G20)</f>
        <v/>
      </c>
      <c r="E41" s="6">
        <f>"Y"&amp;MIN(C30:G30)</f>
        <v/>
      </c>
    </row>
    <row r="60" hidden="1">
      <c r="C60" s="41" t="n">
        <v>1</v>
      </c>
      <c r="D60" s="41" t="n">
        <v>2</v>
      </c>
      <c r="E60" s="41" t="n">
        <v>3</v>
      </c>
      <c r="F60" s="41" t="n">
        <v>4</v>
      </c>
      <c r="G60" s="4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F4444"/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8" t="inlineStr">
        <is>
          <t>COGS Build — bottom-up cost of delivering a deal</t>
        </is>
      </c>
    </row>
    <row r="2">
      <c r="B2" s="1" t="inlineStr">
        <is>
          <t>Amber = editable input. Grey = calculated. The blended COGS here feeds the derived gross margin on Assumptions!C7.</t>
        </is>
      </c>
    </row>
    <row r="4">
      <c r="B4" s="9" t="inlineStr">
        <is>
          <t>PER-DEAL DIRECT COSTS (R)</t>
        </is>
      </c>
      <c r="C4" s="10" t="inlineStr">
        <is>
          <t>Y1</t>
        </is>
      </c>
      <c r="D4" s="10" t="inlineStr">
        <is>
          <t>Y2</t>
        </is>
      </c>
      <c r="E4" s="10" t="inlineStr">
        <is>
          <t>Y3</t>
        </is>
      </c>
      <c r="F4" s="10" t="inlineStr">
        <is>
          <t>Y4</t>
        </is>
      </c>
      <c r="G4" s="10" t="inlineStr">
        <is>
          <t>Y5</t>
        </is>
      </c>
    </row>
    <row r="5">
      <c r="B5" s="20" t="inlineStr">
        <is>
          <t>Platform &amp; messaging (WhatsApp/BSP, funnel-loaded)</t>
        </is>
      </c>
      <c r="C5" s="16" t="n">
        <v>400</v>
      </c>
      <c r="D5" s="16" t="n">
        <v>370</v>
      </c>
      <c r="E5" s="16" t="n">
        <v>340</v>
      </c>
      <c r="F5" s="16" t="n">
        <v>320</v>
      </c>
      <c r="G5" s="16" t="n">
        <v>300</v>
      </c>
    </row>
    <row r="6">
      <c r="B6" s="20" t="inlineStr">
        <is>
          <t>FICA / KYC / AML + affordability checks</t>
        </is>
      </c>
      <c r="C6" s="16" t="n">
        <v>250</v>
      </c>
      <c r="D6" s="16" t="n">
        <v>240</v>
      </c>
      <c r="E6" s="16" t="n">
        <v>230</v>
      </c>
      <c r="F6" s="16" t="n">
        <v>225</v>
      </c>
      <c r="G6" s="16" t="n">
        <v>220</v>
      </c>
    </row>
    <row r="7">
      <c r="B7" s="20" t="inlineStr">
        <is>
          <t>E-signature &amp; digital documents</t>
        </is>
      </c>
      <c r="C7" s="16" t="n">
        <v>180</v>
      </c>
      <c r="D7" s="16" t="n">
        <v>170</v>
      </c>
      <c r="E7" s="16" t="n">
        <v>160</v>
      </c>
      <c r="F7" s="16" t="n">
        <v>155</v>
      </c>
      <c r="G7" s="16" t="n">
        <v>150</v>
      </c>
    </row>
    <row r="8">
      <c r="B8" s="20" t="inlineStr">
        <is>
          <t>Property data / AVM / deeds / CMA</t>
        </is>
      </c>
      <c r="C8" s="16" t="n">
        <v>300</v>
      </c>
      <c r="D8" s="16" t="n">
        <v>285</v>
      </c>
      <c r="E8" s="16" t="n">
        <v>270</v>
      </c>
      <c r="F8" s="16" t="n">
        <v>260</v>
      </c>
      <c r="G8" s="16" t="n">
        <v>250</v>
      </c>
    </row>
    <row r="9">
      <c r="B9" s="20" t="inlineStr">
        <is>
          <t>Listing media &amp; portal syndication (amortised incl. unsold)</t>
        </is>
      </c>
      <c r="C9" s="16" t="n">
        <v>3600</v>
      </c>
      <c r="D9" s="16" t="n">
        <v>3400</v>
      </c>
      <c r="E9" s="16" t="n">
        <v>3200</v>
      </c>
      <c r="F9" s="16" t="n">
        <v>3050</v>
      </c>
      <c r="G9" s="16" t="n">
        <v>2900</v>
      </c>
    </row>
    <row r="10">
      <c r="B10" s="20" t="inlineStr">
        <is>
          <t>Add-on / compliance-cert fulfilment (resold services)</t>
        </is>
      </c>
      <c r="C10" s="16" t="n">
        <v>3900</v>
      </c>
      <c r="D10" s="16" t="n">
        <v>3800</v>
      </c>
      <c r="E10" s="16" t="n">
        <v>3700</v>
      </c>
      <c r="F10" s="16" t="n">
        <v>3600</v>
      </c>
      <c r="G10" s="16" t="n">
        <v>3500</v>
      </c>
    </row>
    <row r="11">
      <c r="B11" s="20" t="inlineStr">
        <is>
          <t>Other / contingency &amp; per-deal SaaS</t>
        </is>
      </c>
      <c r="C11" s="16" t="n">
        <v>600</v>
      </c>
      <c r="D11" s="16" t="n">
        <v>570</v>
      </c>
      <c r="E11" s="16" t="n">
        <v>540</v>
      </c>
      <c r="F11" s="16" t="n">
        <v>520</v>
      </c>
      <c r="G11" s="16" t="n">
        <v>500</v>
      </c>
    </row>
    <row r="12">
      <c r="B12" s="22" t="inlineStr">
        <is>
          <t>COGS per deal (R)</t>
        </is>
      </c>
      <c r="C12" s="112">
        <f>SUM(C5:C11)</f>
        <v/>
      </c>
      <c r="D12" s="112">
        <f>SUM(D5:D11)</f>
        <v/>
      </c>
      <c r="E12" s="112">
        <f>SUM(E5:E11)</f>
        <v/>
      </c>
      <c r="F12" s="112">
        <f>SUM(F5:F11)</f>
        <v/>
      </c>
      <c r="G12" s="112">
        <f>SUM(G5:G11)</f>
        <v/>
      </c>
    </row>
    <row r="14">
      <c r="B14" s="9" t="inlineStr">
        <is>
          <t>BUILD-UP TO TOTAL COGS</t>
        </is>
      </c>
      <c r="C14" s="10" t="inlineStr">
        <is>
          <t>Y1</t>
        </is>
      </c>
      <c r="D14" s="10" t="inlineStr">
        <is>
          <t>Y2</t>
        </is>
      </c>
      <c r="E14" s="10" t="inlineStr">
        <is>
          <t>Y3</t>
        </is>
      </c>
      <c r="F14" s="10" t="inlineStr">
        <is>
          <t>Y4</t>
        </is>
      </c>
      <c r="G14" s="10" t="inlineStr">
        <is>
          <t>Y5</t>
        </is>
      </c>
    </row>
    <row r="15">
      <c r="B15" s="22" t="inlineStr">
        <is>
          <t>Registered deals (base)</t>
        </is>
      </c>
      <c r="C15" s="112">
        <f>Assumptions!C32</f>
        <v/>
      </c>
      <c r="D15" s="112">
        <f>Assumptions!D32</f>
        <v/>
      </c>
      <c r="E15" s="112">
        <f>Assumptions!E32</f>
        <v/>
      </c>
      <c r="F15" s="112">
        <f>Assumptions!F32</f>
        <v/>
      </c>
      <c r="G15" s="112">
        <f>Assumptions!G32</f>
        <v/>
      </c>
    </row>
    <row r="16">
      <c r="B16" s="22" t="inlineStr">
        <is>
          <t>Deal-driven COGS (R)</t>
        </is>
      </c>
      <c r="C16" s="112">
        <f>C12*C15</f>
        <v/>
      </c>
      <c r="D16" s="112">
        <f>D12*D15</f>
        <v/>
      </c>
      <c r="E16" s="112">
        <f>E12*E15</f>
        <v/>
      </c>
      <c r="F16" s="112">
        <f>F12*F15</f>
        <v/>
      </c>
      <c r="G16" s="112">
        <f>G12*G15</f>
        <v/>
      </c>
    </row>
    <row r="17">
      <c r="B17" s="22" t="inlineStr">
        <is>
          <t>Transactional revenue — base (R)</t>
        </is>
      </c>
      <c r="C17" s="112">
        <f>Assumptions!C23*C15</f>
        <v/>
      </c>
      <c r="D17" s="112">
        <f>Assumptions!D23*D15</f>
        <v/>
      </c>
      <c r="E17" s="112">
        <f>Assumptions!E23*E15</f>
        <v/>
      </c>
      <c r="F17" s="112">
        <f>Assumptions!F23*F15</f>
        <v/>
      </c>
      <c r="G17" s="112">
        <f>Assumptions!G23*G15</f>
        <v/>
      </c>
    </row>
    <row r="18">
      <c r="B18" s="20" t="inlineStr">
        <is>
          <t>Payment processing &amp; risk (% of transactional)</t>
        </is>
      </c>
      <c r="C18" s="12" t="n">
        <v>0.007</v>
      </c>
      <c r="D18" s="12" t="n">
        <v>0.007</v>
      </c>
      <c r="E18" s="12" t="n">
        <v>0.007</v>
      </c>
      <c r="F18" s="12" t="n">
        <v>0.007</v>
      </c>
      <c r="G18" s="12" t="n">
        <v>0.007</v>
      </c>
    </row>
    <row r="19">
      <c r="B19" s="22" t="inlineStr">
        <is>
          <t>Processing &amp; risk cost (R)</t>
        </is>
      </c>
      <c r="C19" s="112">
        <f>C17*C18</f>
        <v/>
      </c>
      <c r="D19" s="112">
        <f>D17*D18</f>
        <v/>
      </c>
      <c r="E19" s="112">
        <f>E17*E18</f>
        <v/>
      </c>
      <c r="F19" s="112">
        <f>F17*F18</f>
        <v/>
      </c>
      <c r="G19" s="112">
        <f>G17*G18</f>
        <v/>
      </c>
    </row>
    <row r="20">
      <c r="B20" s="22" t="inlineStr">
        <is>
          <t>TOTAL COGS (R)</t>
        </is>
      </c>
      <c r="C20" s="112">
        <f>C16+C19</f>
        <v/>
      </c>
      <c r="D20" s="112">
        <f>D16+D19</f>
        <v/>
      </c>
      <c r="E20" s="112">
        <f>E16+E19</f>
        <v/>
      </c>
      <c r="F20" s="112">
        <f>F16+F19</f>
        <v/>
      </c>
      <c r="G20" s="112">
        <f>G16+G19</f>
        <v/>
      </c>
    </row>
    <row r="21">
      <c r="B21" s="22" t="inlineStr">
        <is>
          <t>Bank sponsorship (R, 0 COGS)</t>
        </is>
      </c>
      <c r="C21" s="112">
        <f>Assumptions!C27</f>
        <v/>
      </c>
      <c r="D21" s="112">
        <f>Assumptions!D27</f>
        <v/>
      </c>
      <c r="E21" s="112">
        <f>Assumptions!E27</f>
        <v/>
      </c>
      <c r="F21" s="112">
        <f>Assumptions!F27</f>
        <v/>
      </c>
      <c r="G21" s="112">
        <f>Assumptions!G27</f>
        <v/>
      </c>
    </row>
    <row r="22">
      <c r="B22" s="22" t="inlineStr">
        <is>
          <t>Total revenue — base (R)</t>
        </is>
      </c>
      <c r="C22" s="112">
        <f>C17+C21</f>
        <v/>
      </c>
      <c r="D22" s="112">
        <f>D17+D21</f>
        <v/>
      </c>
      <c r="E22" s="112">
        <f>E17+E21</f>
        <v/>
      </c>
      <c r="F22" s="112">
        <f>F17+F21</f>
        <v/>
      </c>
      <c r="G22" s="112">
        <f>G17+G21</f>
        <v/>
      </c>
    </row>
    <row r="23">
      <c r="B23" s="22" t="inlineStr">
        <is>
          <t>COGS as % of revenue</t>
        </is>
      </c>
      <c r="C23" s="113">
        <f>IF(C22=0,"",C20/C22)</f>
        <v/>
      </c>
      <c r="D23" s="113">
        <f>IF(D22=0,"",D20/D22)</f>
        <v/>
      </c>
      <c r="E23" s="113">
        <f>IF(E22=0,"",E20/E22)</f>
        <v/>
      </c>
      <c r="F23" s="113">
        <f>IF(F22=0,"",F20/F22)</f>
        <v/>
      </c>
      <c r="G23" s="113">
        <f>IF(G22=0,"",G20/G22)</f>
        <v/>
      </c>
    </row>
    <row r="25">
      <c r="B25" s="22" t="inlineStr">
        <is>
          <t>Blended COGS % (5-yr)</t>
        </is>
      </c>
      <c r="C25" s="113">
        <f>SUM(C20:G20)/SUM(C22:G22)</f>
        <v/>
      </c>
    </row>
    <row r="26">
      <c r="B26" s="22" t="inlineStr">
        <is>
          <t>Implied blended gross margin</t>
        </is>
      </c>
      <c r="C26" s="113">
        <f>1-C25</f>
        <v/>
      </c>
    </row>
    <row r="28">
      <c r="B28" s="1" t="inlineStr">
        <is>
          <t>Excludes: in-house bond-origination consultant cost (own opex line) and the concierge team (payroll). Media &amp; add-on fulfilment are the largest lines — validate vs supplier quotes (photographer, CoC inspectors, Property24/Private Property, BSP).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A5E9"/>
    <outlinePr summaryBelow="1" summaryRight="1"/>
    <pageSetUpPr/>
  </sheetPr>
  <dimension ref="B1:G57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69" t="inlineStr">
        <is>
          <t>Market Sizing — TAM / SAM / SOM (linked to projection)</t>
        </is>
      </c>
    </row>
    <row r="2">
      <c r="B2" s="70" t="inlineStr">
        <is>
          <t>Amber = input. Grey = calculated/linked. Estimates — see docs/dataroom/03-market-sizing.md for sources &amp; reliability.</t>
        </is>
      </c>
    </row>
    <row r="4">
      <c r="B4" s="71" t="inlineStr">
        <is>
          <t>HEADLINE  (annual revenue pool)</t>
        </is>
      </c>
      <c r="C4" s="71" t="n"/>
      <c r="D4" s="71" t="n"/>
      <c r="E4" s="71" t="n"/>
      <c r="F4" s="71" t="n"/>
      <c r="G4" s="71" t="n"/>
    </row>
    <row r="6">
      <c r="B6" s="72" t="inlineStr">
        <is>
          <t>TAM — all SA residential transfers</t>
        </is>
      </c>
      <c r="C6" s="73">
        <f>C20</f>
        <v/>
      </c>
    </row>
    <row r="7">
      <c r="B7" s="72" t="inlineStr">
        <is>
          <t>SAM — upper-market (&gt;~R4m), national</t>
        </is>
      </c>
      <c r="C7" s="73">
        <f>C27</f>
        <v/>
      </c>
    </row>
    <row r="8">
      <c r="B8" s="72" t="inlineStr">
        <is>
          <t>SOM — our base-case Y5 revenue</t>
        </is>
      </c>
      <c r="C8" s="74">
        <f>D32</f>
        <v/>
      </c>
    </row>
    <row r="10">
      <c r="B10" s="71" t="inlineStr">
        <is>
          <t>1. THE MARKET CONTEXT (full-service commission pool)</t>
        </is>
      </c>
      <c r="C10" s="71" t="n"/>
      <c r="D10" s="71" t="n"/>
      <c r="E10" s="71" t="n"/>
      <c r="F10" s="71" t="n"/>
      <c r="G10" s="71" t="n"/>
    </row>
    <row r="11">
      <c r="B11" s="75" t="inlineStr">
        <is>
          <t>SA annual residential transfers</t>
        </is>
      </c>
      <c r="C11" s="76" t="n">
        <v>250000</v>
      </c>
      <c r="D11" s="70" t="inlineStr">
        <is>
          <t>~207k-277k (Lightstone 2024)</t>
        </is>
      </c>
    </row>
    <row r="12">
      <c r="B12" s="75" t="inlineStr">
        <is>
          <t>Avg transaction price - national (R)</t>
        </is>
      </c>
      <c r="C12" s="77" t="n">
        <v>1400000</v>
      </c>
      <c r="D12" s="70" t="inlineStr">
        <is>
          <t>Lightstone Q1 2024</t>
        </is>
      </c>
    </row>
    <row r="13">
      <c r="B13" s="75" t="inlineStr">
        <is>
          <t>Total annual transaction value (R)</t>
        </is>
      </c>
      <c r="C13" s="78">
        <f>C11*C12</f>
        <v/>
      </c>
      <c r="D13" s="70" t="inlineStr">
        <is>
          <t>~R350bn</t>
        </is>
      </c>
    </row>
    <row r="14">
      <c r="B14" s="75" t="inlineStr">
        <is>
          <t>Avg agent commission incl VAT (%)</t>
        </is>
      </c>
      <c r="C14" s="79" t="n">
        <v>0.06900000000000001</v>
      </c>
      <c r="D14" s="70" t="inlineStr">
        <is>
          <t>6% x 1.15 VAT</t>
        </is>
      </c>
    </row>
    <row r="15">
      <c r="B15" s="72" t="inlineStr">
        <is>
          <t>Agent commission pool / yr (R)</t>
        </is>
      </c>
      <c r="C15" s="73">
        <f>C13*C14</f>
        <v/>
      </c>
      <c r="D15" s="70" t="inlineStr">
        <is>
          <t>~R24bn - what sellers pay for full service (context for the private-sale segment we serve)</t>
        </is>
      </c>
    </row>
    <row r="17">
      <c r="B17" s="71" t="inlineStr">
        <is>
          <t>2. TAM - addressable revenue pool (all SA transfers)</t>
        </is>
      </c>
      <c r="C17" s="71" t="n"/>
      <c r="D17" s="71" t="n"/>
      <c r="E17" s="71" t="n"/>
      <c r="F17" s="71" t="n"/>
      <c r="G17" s="71" t="n"/>
    </row>
    <row r="18">
      <c r="B18" s="75" t="inlineStr">
        <is>
          <t>SA transfers / yr</t>
        </is>
      </c>
      <c r="C18" s="80">
        <f>C11</f>
        <v/>
      </c>
    </row>
    <row r="19">
      <c r="B19" s="75" t="inlineStr">
        <is>
          <t>Our blended revenue / deal - national (R)</t>
        </is>
      </c>
      <c r="C19" s="77" t="n">
        <v>25000</v>
      </c>
      <c r="D19" s="70" t="inlineStr">
        <is>
          <t>1% fee/referral + conveyancing + ecosystem, ~R1.4m home</t>
        </is>
      </c>
    </row>
    <row r="20">
      <c r="B20" s="72" t="inlineStr">
        <is>
          <t>TAM revenue pool / yr (R)</t>
        </is>
      </c>
      <c r="C20" s="73">
        <f>C18*C19</f>
        <v/>
      </c>
      <c r="D20" s="70" t="inlineStr">
        <is>
          <t>~R6.3bn</t>
        </is>
      </c>
    </row>
    <row r="22">
      <c r="B22" s="71" t="inlineStr">
        <is>
          <t>3. SAM - serviceable: UPPER-MARKET (&gt;~R4m), national</t>
        </is>
      </c>
      <c r="C22" s="71" t="n"/>
      <c r="D22" s="71" t="n"/>
      <c r="E22" s="71" t="n"/>
      <c r="F22" s="71" t="n"/>
      <c r="G22" s="71" t="n"/>
    </row>
    <row r="23">
      <c r="B23" s="75" t="inlineStr">
        <is>
          <t>Upper-market (&gt;~R4m) transfers / yr</t>
        </is>
      </c>
      <c r="C23" s="76" t="n">
        <v>35000</v>
      </c>
      <c r="D23" s="70" t="inlineStr">
        <is>
          <t>ESTIMATE — broadens as avg price tapers; confirm</t>
        </is>
      </c>
    </row>
    <row r="24">
      <c r="B24" s="75" t="inlineStr">
        <is>
          <t>Avg prime transacting price (R)</t>
        </is>
      </c>
      <c r="C24" s="78">
        <f>Assumptions!C15</f>
        <v/>
      </c>
      <c r="D24" s="70" t="inlineStr">
        <is>
          <t>linked to model price</t>
        </is>
      </c>
    </row>
    <row r="25">
      <c r="B25" s="75" t="inlineStr">
        <is>
          <t>Prime transaction value / yr (R)</t>
        </is>
      </c>
      <c r="C25" s="78">
        <f>C23*C24</f>
        <v/>
      </c>
      <c r="D25" s="70" t="inlineStr">
        <is>
          <t>~R91bn</t>
        </is>
      </c>
    </row>
    <row r="26">
      <c r="B26" s="75" t="inlineStr">
        <is>
          <t>Our revenue / deal - prime (R)</t>
        </is>
      </c>
      <c r="C26" s="78">
        <f>Assumptions!G23</f>
        <v/>
      </c>
      <c r="D26" s="70" t="inlineStr">
        <is>
          <t>linked to model Y5 rev/deal</t>
        </is>
      </c>
    </row>
    <row r="27">
      <c r="B27" s="72" t="inlineStr">
        <is>
          <t>SAM revenue pool / yr (R)</t>
        </is>
      </c>
      <c r="C27" s="73">
        <f>C23*C26</f>
        <v/>
      </c>
      <c r="D27" s="70" t="inlineStr">
        <is>
          <t>~R0.98bn</t>
        </is>
      </c>
    </row>
    <row r="29">
      <c r="B29" s="71" t="inlineStr">
        <is>
          <t>4. SOM - obtainable (our projection, linked)</t>
        </is>
      </c>
      <c r="C29" s="71" t="n"/>
      <c r="D29" s="71" t="n"/>
      <c r="E29" s="71" t="n"/>
      <c r="F29" s="71" t="n"/>
      <c r="G29" s="71" t="n"/>
    </row>
    <row r="30">
      <c r="C30" s="81" t="inlineStr">
        <is>
          <t>Conservative</t>
        </is>
      </c>
      <c r="D30" s="81" t="inlineStr">
        <is>
          <t>Base</t>
        </is>
      </c>
      <c r="E30" s="81" t="inlineStr">
        <is>
          <t>Aggressive</t>
        </is>
      </c>
    </row>
    <row r="31">
      <c r="B31" s="72" t="inlineStr">
        <is>
          <t>Y5 registered deals</t>
        </is>
      </c>
      <c r="C31" s="82">
        <f>Assumptions!G31</f>
        <v/>
      </c>
      <c r="D31" s="82">
        <f>Assumptions!G32</f>
        <v/>
      </c>
      <c r="E31" s="82">
        <f>Assumptions!G33</f>
        <v/>
      </c>
    </row>
    <row r="32">
      <c r="B32" s="75" t="inlineStr">
        <is>
          <t>Y5 revenue (R)</t>
        </is>
      </c>
      <c r="C32" s="83">
        <f>Scenarios!C36</f>
        <v/>
      </c>
      <c r="D32" s="83">
        <f>Scenarios!D36</f>
        <v/>
      </c>
      <c r="E32" s="83">
        <f>Scenarios!E36</f>
        <v/>
      </c>
    </row>
    <row r="33">
      <c r="B33" s="72" t="inlineStr">
        <is>
          <t>SOM = % of upper-market transactions</t>
        </is>
      </c>
      <c r="C33" s="84">
        <f>C31/$C$23</f>
        <v/>
      </c>
      <c r="D33" s="84">
        <f>D31/$C$23</f>
        <v/>
      </c>
      <c r="E33" s="84">
        <f>E31/$C$23</f>
        <v/>
      </c>
    </row>
    <row r="34">
      <c r="B34" s="75" t="inlineStr">
        <is>
          <t>SOM = % of prime revenue pool</t>
        </is>
      </c>
      <c r="C34" s="85">
        <f>C32/$C$27</f>
        <v/>
      </c>
      <c r="D34" s="85">
        <f>D32/$C$27</f>
        <v/>
      </c>
      <c r="E34" s="85">
        <f>E32/$C$27</f>
        <v/>
      </c>
    </row>
    <row r="35">
      <c r="B35" s="75" t="inlineStr">
        <is>
          <t>For reference: % of ALL SA transfers</t>
        </is>
      </c>
      <c r="C35" s="85">
        <f>C31/$C$11</f>
        <v/>
      </c>
      <c r="D35" s="85">
        <f>D31/$C$11</f>
        <v/>
      </c>
      <c r="E35" s="85">
        <f>E31/$C$11</f>
        <v/>
      </c>
    </row>
    <row r="37">
      <c r="B37" s="71" t="inlineStr">
        <is>
          <t>5. STRESS TEST / reality check</t>
        </is>
      </c>
      <c r="C37" s="71" t="n"/>
      <c r="D37" s="71" t="n"/>
      <c r="E37" s="71" t="n"/>
      <c r="F37" s="71" t="n"/>
      <c r="G37" s="71" t="n"/>
    </row>
    <row r="38">
      <c r="B38" s="72" t="inlineStr">
        <is>
          <t>Base implies this share of the upper-market by Y5</t>
        </is>
      </c>
      <c r="C38" s="86">
        <f>D33</f>
        <v/>
      </c>
    </row>
    <row r="39">
      <c r="B39" s="70" t="inlineStr">
        <is>
          <t>Implied prime share moves inversely with the prime-pool estimate:</t>
        </is>
      </c>
    </row>
    <row r="40">
      <c r="B40" s="75" t="inlineStr">
        <is>
          <t>If pool = 25,000 -&gt; base Y5 share</t>
        </is>
      </c>
      <c r="C40" s="87">
        <f>D31/25000</f>
        <v/>
      </c>
    </row>
    <row r="41">
      <c r="B41" s="75" t="inlineStr">
        <is>
          <t>If pool = 35,000 (base) -&gt; base Y5 share</t>
        </is>
      </c>
      <c r="C41" s="87">
        <f>D31/35000</f>
        <v/>
      </c>
    </row>
    <row r="42">
      <c r="B42" s="75" t="inlineStr">
        <is>
          <t>If pool = 50,000 -&gt; base Y5 share</t>
        </is>
      </c>
      <c r="C42" s="87">
        <f>D31/50000</f>
        <v/>
      </c>
    </row>
    <row r="44">
      <c r="B44" s="88" t="inlineStr">
        <is>
          <t>POSITIONING: tapering price broadens the addressable pool, cutting the implied share from ~21% (prime-only) to ~8%.</t>
        </is>
      </c>
    </row>
    <row r="45">
      <c r="B45" s="70" t="inlineStr">
        <is>
          <t>Land at prime (biggest rand savings + bond), expand down to upper-mid as the brand scales. As % of ALL SA transfers: ~1.2%.</t>
        </is>
      </c>
    </row>
    <row r="47">
      <c r="B47" s="71" t="inlineStr">
        <is>
          <t>6. CONSUMER VALUE - KEPT VS FULL-SERVICE BENCHMARK (sellers who choose self-service)</t>
        </is>
      </c>
      <c r="C47" s="71" t="n"/>
      <c r="D47" s="71" t="n"/>
      <c r="E47" s="71" t="n"/>
      <c r="F47" s="71" t="n"/>
      <c r="G47" s="71" t="n"/>
    </row>
    <row r="48">
      <c r="C48" s="89" t="inlineStr">
        <is>
          <t>Y1</t>
        </is>
      </c>
      <c r="D48" s="89" t="inlineStr">
        <is>
          <t>Y2</t>
        </is>
      </c>
      <c r="E48" s="89" t="inlineStr">
        <is>
          <t>Y3</t>
        </is>
      </c>
      <c r="F48" s="89" t="inlineStr">
        <is>
          <t>Y4</t>
        </is>
      </c>
      <c r="G48" s="89" t="inlineStr">
        <is>
          <t>Y5</t>
        </is>
      </c>
    </row>
    <row r="49">
      <c r="B49" s="75" t="inlineStr">
        <is>
          <t>Avg sale price (R)</t>
        </is>
      </c>
      <c r="C49" s="83">
        <f>Assumptions!C15</f>
        <v/>
      </c>
      <c r="D49" s="83">
        <f>Assumptions!D15</f>
        <v/>
      </c>
      <c r="E49" s="83">
        <f>Assumptions!E15</f>
        <v/>
      </c>
      <c r="F49" s="83">
        <f>Assumptions!F15</f>
        <v/>
      </c>
      <c r="G49" s="83">
        <f>Assumptions!G15</f>
        <v/>
      </c>
    </row>
    <row r="50">
      <c r="B50" s="75" t="inlineStr">
        <is>
          <t>Traditional agent commission / sale (R)</t>
        </is>
      </c>
      <c r="C50" s="83">
        <f>C49*$C$14</f>
        <v/>
      </c>
      <c r="D50" s="83">
        <f>D49*$C$14</f>
        <v/>
      </c>
      <c r="E50" s="83">
        <f>E49*$C$14</f>
        <v/>
      </c>
      <c r="F50" s="83">
        <f>F49*$C$14</f>
        <v/>
      </c>
      <c r="G50" s="83">
        <f>G49*$C$14</f>
        <v/>
      </c>
    </row>
    <row r="51">
      <c r="B51" s="75" t="inlineStr">
        <is>
          <t>Sold Direct cost - non-partner (1% fee) (R)</t>
        </is>
      </c>
      <c r="C51" s="83">
        <f>C49*Assumptions!$C$6</f>
        <v/>
      </c>
      <c r="D51" s="83">
        <f>D49*Assumptions!$C$6</f>
        <v/>
      </c>
      <c r="E51" s="83">
        <f>E49*Assumptions!$C$6</f>
        <v/>
      </c>
      <c r="F51" s="83">
        <f>F49*Assumptions!$C$6</f>
        <v/>
      </c>
      <c r="G51" s="83">
        <f>G49*Assumptions!$C$6</f>
        <v/>
      </c>
    </row>
    <row r="52">
      <c r="B52" s="72" t="inlineStr">
        <is>
          <t>Saving per deal, blended (R)</t>
        </is>
      </c>
      <c r="C52" s="90">
        <f>Assumptions!C16*C50+(1-Assumptions!C16)*(C50-C51)</f>
        <v/>
      </c>
      <c r="D52" s="90">
        <f>Assumptions!D16*D50+(1-Assumptions!D16)*(D50-D51)</f>
        <v/>
      </c>
      <c r="E52" s="90">
        <f>Assumptions!E16*E50+(1-Assumptions!E16)*(E50-E51)</f>
        <v/>
      </c>
      <c r="F52" s="90">
        <f>Assumptions!F16*F50+(1-Assumptions!F16)*(F50-F51)</f>
        <v/>
      </c>
      <c r="G52" s="90">
        <f>Assumptions!G16*G50+(1-Assumptions!G16)*(G50-G51)</f>
        <v/>
      </c>
    </row>
    <row r="53">
      <c r="B53" s="75" t="inlineStr">
        <is>
          <t>Registered deals (base)</t>
        </is>
      </c>
      <c r="C53" s="91">
        <f>Assumptions!C32</f>
        <v/>
      </c>
      <c r="D53" s="91">
        <f>Assumptions!D32</f>
        <v/>
      </c>
      <c r="E53" s="91">
        <f>Assumptions!E32</f>
        <v/>
      </c>
      <c r="F53" s="91">
        <f>Assumptions!F32</f>
        <v/>
      </c>
      <c r="G53" s="91">
        <f>Assumptions!G32</f>
        <v/>
      </c>
    </row>
    <row r="54">
      <c r="B54" s="72" t="inlineStr">
        <is>
          <t>Annual consumer saving (R)</t>
        </is>
      </c>
      <c r="C54" s="74">
        <f>C52*C53</f>
        <v/>
      </c>
      <c r="D54" s="74">
        <f>D52*D53</f>
        <v/>
      </c>
      <c r="E54" s="74">
        <f>E52*E53</f>
        <v/>
      </c>
      <c r="F54" s="74">
        <f>F52*F53</f>
        <v/>
      </c>
      <c r="G54" s="74">
        <f>G52*G53</f>
        <v/>
      </c>
    </row>
    <row r="55">
      <c r="B55" s="72" t="inlineStr">
        <is>
          <t>Cumulative consumer saving (R)</t>
        </is>
      </c>
      <c r="C55" s="90">
        <f>C54</f>
        <v/>
      </c>
      <c r="D55" s="90">
        <f>C55+D54</f>
        <v/>
      </c>
      <c r="E55" s="90">
        <f>D55+E54</f>
        <v/>
      </c>
      <c r="F55" s="90">
        <f>E55+F54</f>
        <v/>
      </c>
      <c r="G55" s="90">
        <f>F55+G54</f>
        <v/>
      </c>
    </row>
    <row r="57">
      <c r="B57" s="70" t="inlineStr">
        <is>
          <t>On a full-service sale the seller carries the commission; sellers who choose our self-service path keep it. Full-service agents continue to serve those who want them - complementary, not adversarial.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C3AED"/>
    <outlinePr summaryBelow="1" summaryRight="1"/>
    <pageSetUpPr/>
  </sheetPr>
  <dimension ref="B1:E27"/>
  <sheetViews>
    <sheetView showGridLines="0" topLeftCell="A2" workbookViewId="0">
      <selection activeCell="C6" sqref="C6"/>
    </sheetView>
  </sheetViews>
  <sheetFormatPr baseColWidth="10" defaultColWidth="8.83203125" defaultRowHeight="15"/>
  <cols>
    <col width="1" customWidth="1" min="1" max="1"/>
    <col width="48.33203125" customWidth="1" min="2" max="2"/>
    <col width="23.33203125" customWidth="1" min="3" max="5"/>
  </cols>
  <sheetData>
    <row r="1" ht="21" customHeight="1">
      <c r="B1" s="8" t="inlineStr">
        <is>
          <t>Capital Requirement &amp; Valuation</t>
        </is>
      </c>
    </row>
    <row r="3">
      <c r="B3" s="9" t="inlineStr">
        <is>
          <t>CAPITAL (from Scenarios)</t>
        </is>
      </c>
      <c r="C3" s="9" t="n"/>
      <c r="D3" s="9" t="n"/>
      <c r="E3" s="9" t="n"/>
    </row>
    <row r="4">
      <c r="C4" s="43" t="inlineStr">
        <is>
          <t>Conservative</t>
        </is>
      </c>
      <c r="D4" s="43" t="inlineStr">
        <is>
          <t>Base</t>
        </is>
      </c>
      <c r="E4" s="43" t="inlineStr">
        <is>
          <t>Aggressive</t>
        </is>
      </c>
    </row>
    <row r="5">
      <c r="B5" s="30" t="inlineStr">
        <is>
          <t>Total capital to breakeven (R)</t>
        </is>
      </c>
      <c r="C5" s="67">
        <f>Scenarios!C40</f>
        <v/>
      </c>
      <c r="D5" s="67">
        <f>Scenarios!D40</f>
        <v/>
      </c>
      <c r="E5" s="67">
        <f>Scenarios!E40</f>
        <v/>
      </c>
    </row>
    <row r="6">
      <c r="B6" s="24" t="inlineStr">
        <is>
          <t xml:space="preserve">  in USD (approx)</t>
        </is>
      </c>
      <c r="C6" s="92">
        <f>C5/Assumptions!$C$8</f>
        <v/>
      </c>
      <c r="D6" s="92">
        <f>D5/Assumptions!$C$8</f>
        <v/>
      </c>
      <c r="E6" s="92">
        <f>E5/Assumptions!$C$8</f>
        <v/>
      </c>
    </row>
    <row r="7">
      <c r="B7" s="37" t="n"/>
    </row>
    <row r="8">
      <c r="B8" s="45" t="inlineStr">
        <is>
          <t>RECOMMENDED RAISE</t>
        </is>
      </c>
      <c r="C8" s="9" t="n"/>
      <c r="D8" s="9" t="n"/>
      <c r="E8" s="9" t="n"/>
    </row>
    <row r="9">
      <c r="B9" s="20" t="inlineStr">
        <is>
          <t>Seed round (R) — growth buffer above need</t>
        </is>
      </c>
      <c r="C9" s="93" t="n">
        <v>15000000</v>
      </c>
    </row>
    <row r="10">
      <c r="B10" s="24" t="inlineStr">
        <is>
          <t>Seed round (USD approx)</t>
        </is>
      </c>
      <c r="C10" s="92">
        <f>C9/Assumptions!$C$8</f>
        <v/>
      </c>
    </row>
    <row r="11">
      <c r="B11" s="37" t="n"/>
    </row>
    <row r="12">
      <c r="B12" s="45" t="inlineStr">
        <is>
          <t>VALUATION — REVENUE MULTIPLE (Base, Y5)</t>
        </is>
      </c>
      <c r="C12" s="9" t="n"/>
      <c r="D12" s="9" t="n"/>
      <c r="E12" s="9" t="n"/>
    </row>
    <row r="13">
      <c r="B13" s="37" t="n"/>
      <c r="C13" s="43" t="inlineStr">
        <is>
          <t>Low</t>
        </is>
      </c>
      <c r="D13" s="43" t="inlineStr">
        <is>
          <t>High</t>
        </is>
      </c>
    </row>
    <row r="14">
      <c r="B14" s="24" t="inlineStr">
        <is>
          <t>Y5 revenue (R)</t>
        </is>
      </c>
      <c r="C14" s="63">
        <f>Scenarios!D36</f>
        <v/>
      </c>
      <c r="D14" s="63">
        <f>Scenarios!D36</f>
        <v/>
      </c>
    </row>
    <row r="15">
      <c r="B15" s="24" t="inlineStr">
        <is>
          <t>Revenue multiple</t>
        </is>
      </c>
      <c r="C15" s="94">
        <f>Assumptions!C9</f>
        <v/>
      </c>
      <c r="D15" s="94">
        <f>Assumptions!C10</f>
        <v/>
      </c>
    </row>
    <row r="16">
      <c r="B16" s="30" t="inlineStr">
        <is>
          <t>Enterprise value (R)</t>
        </is>
      </c>
      <c r="C16" s="67">
        <f>C14*C15</f>
        <v/>
      </c>
      <c r="D16" s="67">
        <f>D14*D15</f>
        <v/>
      </c>
    </row>
    <row r="17">
      <c r="B17" s="24" t="inlineStr">
        <is>
          <t>Enterprise value (USD)</t>
        </is>
      </c>
      <c r="C17" s="92">
        <f>C16/Assumptions!$C$8</f>
        <v/>
      </c>
      <c r="D17" s="92">
        <f>D16/Assumptions!$C$8</f>
        <v/>
      </c>
    </row>
    <row r="18">
      <c r="B18" s="37" t="n"/>
    </row>
    <row r="19">
      <c r="B19" s="45" t="inlineStr">
        <is>
          <t>SEED ROUND FRAMING (illustrative)</t>
        </is>
      </c>
      <c r="C19" s="9" t="n"/>
      <c r="D19" s="9" t="n"/>
      <c r="E19" s="9" t="n"/>
    </row>
    <row r="20">
      <c r="B20" s="20" t="inlineStr">
        <is>
          <t>Seed pre-money (R)</t>
        </is>
      </c>
      <c r="C20" s="93" t="n">
        <v>50000000</v>
      </c>
    </row>
    <row r="21">
      <c r="B21" s="24" t="inlineStr">
        <is>
          <t>Seed raise (R)</t>
        </is>
      </c>
      <c r="C21" s="63">
        <f>C9</f>
        <v/>
      </c>
    </row>
    <row r="22">
      <c r="B22" s="32" t="inlineStr">
        <is>
          <t>Seed post-money (R)</t>
        </is>
      </c>
      <c r="C22" s="66">
        <f>C20+C21</f>
        <v/>
      </c>
    </row>
    <row r="23">
      <c r="B23" s="24" t="inlineStr">
        <is>
          <t>New-investor stake</t>
        </is>
      </c>
      <c r="C23" s="5">
        <f>C21/C22</f>
        <v/>
      </c>
    </row>
    <row r="24">
      <c r="B24" s="37" t="n"/>
    </row>
    <row r="25">
      <c r="B25" s="45" t="inlineStr">
        <is>
          <t>AGGRESSIVE UPSIDE</t>
        </is>
      </c>
      <c r="C25" s="9" t="n"/>
      <c r="D25" s="9" t="n"/>
      <c r="E25" s="9" t="n"/>
    </row>
    <row r="26">
      <c r="B26" s="24" t="inlineStr">
        <is>
          <t>Y5 revenue (R)</t>
        </is>
      </c>
      <c r="C26" s="63">
        <f>Scenarios!E36</f>
        <v/>
      </c>
    </row>
    <row r="27">
      <c r="B27" s="32" t="inlineStr">
        <is>
          <t>EV @ 5x (R)</t>
        </is>
      </c>
      <c r="C27" s="66">
        <f>C26*5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0" customWidth="1" min="4" max="4"/>
    <col width="60" customWidth="1" min="5" max="5"/>
  </cols>
  <sheetData>
    <row r="1">
      <c r="B1" s="69" t="inlineStr">
        <is>
          <t>Use of Funds — seed round</t>
        </is>
      </c>
    </row>
    <row r="2">
      <c r="B2" s="70" t="inlineStr">
        <is>
          <t>Amber = editable allocation. % and totals calculated. Seed amount linked from Capital &amp; Valuation!C9.</t>
        </is>
      </c>
    </row>
    <row r="4">
      <c r="B4" s="97" t="inlineStr">
        <is>
          <t>Category</t>
        </is>
      </c>
      <c r="C4" s="97" t="inlineStr">
        <is>
          <t>Amount (R)</t>
        </is>
      </c>
      <c r="D4" s="97" t="inlineStr">
        <is>
          <t xml:space="preserve">% </t>
        </is>
      </c>
      <c r="E4" s="97" t="inlineStr">
        <is>
          <t>What it buys / milestone</t>
        </is>
      </c>
    </row>
    <row r="5">
      <c r="B5" s="75" t="inlineStr">
        <is>
          <t>Above-the-line / brand marketing</t>
        </is>
      </c>
      <c r="C5" s="98" t="n">
        <v>5000000</v>
      </c>
      <c r="D5" s="85">
        <f>C5/$C$11</f>
        <v/>
      </c>
      <c r="E5" s="99" t="inlineStr">
        <is>
          <t>First brand campaign in prime CT — the deal-ramp engine; prove ATL→deals conversion</t>
        </is>
      </c>
    </row>
    <row r="6">
      <c r="B6" s="75" t="inlineStr">
        <is>
          <t>Team (AI-augmented, ~8 people)</t>
        </is>
      </c>
      <c r="C6" s="98" t="n">
        <v>5000000</v>
      </c>
      <c r="D6" s="85">
        <f>C6/$C$11</f>
        <v/>
      </c>
      <c r="E6" s="99" t="inlineStr">
        <is>
          <t>Founders + small human core (product, ops/concierge, partnerships); 12–18mo runway</t>
        </is>
      </c>
    </row>
    <row r="7">
      <c r="B7" s="75" t="inlineStr">
        <is>
          <t>Product &amp; technology</t>
        </is>
      </c>
      <c r="C7" s="98" t="n">
        <v>2000000</v>
      </c>
      <c r="D7" s="85">
        <f>C7/$C$11</f>
        <v/>
      </c>
      <c r="E7" s="99" t="inlineStr">
        <is>
          <t>WhatsApp Cloud API/BSP, AI agents, deal tracker, dashboard, security</t>
        </is>
      </c>
    </row>
    <row r="8">
      <c r="B8" s="75" t="inlineStr">
        <is>
          <t>Partnerships &amp; go-to-market</t>
        </is>
      </c>
      <c r="C8" s="98" t="n">
        <v>1000000</v>
      </c>
      <c r="D8" s="85">
        <f>C8/$C$11</f>
        <v/>
      </c>
      <c r="E8" s="99" t="inlineStr">
        <is>
          <t>ooba + panel conveyancers live; secure the bank headline sponsor; onboarding</t>
        </is>
      </c>
    </row>
    <row r="9">
      <c r="B9" s="75" t="inlineStr">
        <is>
          <t>Legal / compliance / licensing</t>
        </is>
      </c>
      <c r="C9" s="98" t="n">
        <v>1000000</v>
      </c>
      <c r="D9" s="85">
        <f>C9/$C$11</f>
        <v/>
      </c>
      <c r="E9" s="99" t="inlineStr">
        <is>
          <t>PPRA practitioner + FFC, POPIA programme, contracts, mandate templates</t>
        </is>
      </c>
    </row>
    <row r="10">
      <c r="B10" s="75" t="inlineStr">
        <is>
          <t>Working capital / contingency</t>
        </is>
      </c>
      <c r="C10" s="98" t="n">
        <v>1000000</v>
      </c>
      <c r="D10" s="85">
        <f>C10/$C$11</f>
        <v/>
      </c>
      <c r="E10" s="99" t="inlineStr">
        <is>
          <t>Buffer above the ~R6m modelled cash low-point</t>
        </is>
      </c>
    </row>
    <row r="11">
      <c r="B11" s="72" t="inlineStr">
        <is>
          <t>Total allocated</t>
        </is>
      </c>
      <c r="C11" s="74">
        <f>SUM(C5:C10)</f>
        <v/>
      </c>
      <c r="D11" s="85">
        <f>C11/$C$11</f>
        <v/>
      </c>
    </row>
    <row r="12">
      <c r="B12" s="75" t="inlineStr">
        <is>
          <t>Seed raise (linked)</t>
        </is>
      </c>
      <c r="C12" s="83">
        <f>'Capital &amp; Valuation'!C9</f>
        <v/>
      </c>
    </row>
    <row r="13">
      <c r="B13" s="70" t="inlineStr">
        <is>
          <t>Check (allocated − seed; should be 0)</t>
        </is>
      </c>
      <c r="C13" s="83">
        <f>C11-C12</f>
        <v/>
      </c>
    </row>
    <row r="15">
      <c r="B15" s="70" t="inlineStr">
        <is>
          <t>Note: survival need is only ~R6m; the rest is growth capital (brand + team) to drive the deal ramp.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18" customWidth="1" min="5" max="5"/>
  </cols>
  <sheetData>
    <row r="1">
      <c r="B1" s="69" t="inlineStr">
        <is>
          <t>Cap Table — ownership &amp; dilution</t>
        </is>
      </c>
    </row>
    <row r="2">
      <c r="B2" s="70" t="inlineStr">
        <is>
          <t>Founders 4 x 25%. Amber = editable round inputs; seed linked from Capital &amp; Valuation.</t>
        </is>
      </c>
    </row>
    <row r="4">
      <c r="B4" s="97" t="inlineStr">
        <is>
          <t>ROUND INPUTS</t>
        </is>
      </c>
      <c r="C4" s="97" t="n"/>
      <c r="D4" s="97" t="n"/>
      <c r="E4" s="97" t="n"/>
    </row>
    <row r="5">
      <c r="B5" s="75" t="inlineStr">
        <is>
          <t>Seed pre-money (R)</t>
        </is>
      </c>
      <c r="C5" s="83">
        <f>'Capital &amp; Valuation'!C20</f>
        <v/>
      </c>
    </row>
    <row r="6">
      <c r="B6" s="75" t="inlineStr">
        <is>
          <t>Seed raise (R)</t>
        </is>
      </c>
      <c r="C6" s="83">
        <f>'Capital &amp; Valuation'!C9</f>
        <v/>
      </c>
    </row>
    <row r="7">
      <c r="B7" s="72" t="inlineStr">
        <is>
          <t>Seed post-money (R)</t>
        </is>
      </c>
      <c r="C7" s="74">
        <f>C5+C6</f>
        <v/>
      </c>
    </row>
    <row r="8">
      <c r="B8" s="75" t="inlineStr">
        <is>
          <t>Series A pre-money (R)</t>
        </is>
      </c>
      <c r="C8" s="98" t="n">
        <v>250000000</v>
      </c>
    </row>
    <row r="9">
      <c r="B9" s="75" t="inlineStr">
        <is>
          <t>Series A raise (R)</t>
        </is>
      </c>
      <c r="C9" s="98" t="n">
        <v>50000000</v>
      </c>
    </row>
    <row r="10">
      <c r="B10" s="72" t="inlineStr">
        <is>
          <t>Series A post-money (R)</t>
        </is>
      </c>
      <c r="C10" s="74">
        <f>C8+C9</f>
        <v/>
      </c>
    </row>
    <row r="11">
      <c r="B11" s="75" t="inlineStr">
        <is>
          <t>Exit multiple (x Y5 revenue)</t>
        </is>
      </c>
      <c r="C11" s="109" t="n">
        <v>5</v>
      </c>
    </row>
    <row r="12">
      <c r="B12" s="72" t="inlineStr">
        <is>
          <t>Exit enterprise value — base Y5 (R)</t>
        </is>
      </c>
      <c r="C12" s="74">
        <f>Scenarios!D36*C11</f>
        <v/>
      </c>
    </row>
    <row r="14">
      <c r="B14" s="97" t="inlineStr">
        <is>
          <t>OWNERSHIP (%)</t>
        </is>
      </c>
      <c r="C14" s="97" t="n"/>
      <c r="D14" s="97" t="n"/>
      <c r="E14" s="97" t="n"/>
    </row>
    <row r="15">
      <c r="B15" s="81" t="inlineStr">
        <is>
          <t>Holder</t>
        </is>
      </c>
      <c r="C15" s="81" t="inlineStr">
        <is>
          <t>Founding</t>
        </is>
      </c>
      <c r="D15" s="81" t="inlineStr">
        <is>
          <t>Post-Seed</t>
        </is>
      </c>
      <c r="E15" s="81" t="inlineStr">
        <is>
          <t>Post-Series A</t>
        </is>
      </c>
    </row>
    <row r="16">
      <c r="B16" s="75" t="inlineStr">
        <is>
          <t>Johannes — Commercial Director</t>
        </is>
      </c>
      <c r="C16" s="110" t="n">
        <v>0.25</v>
      </c>
      <c r="D16" s="85">
        <f>C16*($C$5/$C$7)</f>
        <v/>
      </c>
      <c r="E16" s="85">
        <f>D16*($C$8/$C$10)</f>
        <v/>
      </c>
    </row>
    <row r="17">
      <c r="B17" s="75" t="inlineStr">
        <is>
          <t>Wilhelm — CTO</t>
        </is>
      </c>
      <c r="C17" s="110" t="n">
        <v>0.25</v>
      </c>
      <c r="D17" s="85">
        <f>C17*($C$5/$C$7)</f>
        <v/>
      </c>
      <c r="E17" s="85">
        <f>D17*($C$8/$C$10)</f>
        <v/>
      </c>
    </row>
    <row r="18">
      <c r="B18" s="75" t="inlineStr">
        <is>
          <t>Dean — COO</t>
        </is>
      </c>
      <c r="C18" s="110" t="n">
        <v>0.25</v>
      </c>
      <c r="D18" s="85">
        <f>C18*($C$5/$C$7)</f>
        <v/>
      </c>
      <c r="E18" s="85">
        <f>D18*($C$8/$C$10)</f>
        <v/>
      </c>
    </row>
    <row r="19">
      <c r="B19" s="75" t="inlineStr">
        <is>
          <t>Strategic Funder</t>
        </is>
      </c>
      <c r="C19" s="110" t="n">
        <v>0.25</v>
      </c>
      <c r="D19" s="85">
        <f>C19*($C$5/$C$7)</f>
        <v/>
      </c>
      <c r="E19" s="85">
        <f>D19*($C$8/$C$10)</f>
        <v/>
      </c>
    </row>
    <row r="20">
      <c r="B20" s="75" t="inlineStr">
        <is>
          <t>Seed Investor</t>
        </is>
      </c>
      <c r="C20" s="110" t="n">
        <v>0</v>
      </c>
      <c r="D20" s="85">
        <f>$C$6/$C$7</f>
        <v/>
      </c>
      <c r="E20" s="85">
        <f>D20*($C$8/$C$10)</f>
        <v/>
      </c>
    </row>
    <row r="21">
      <c r="B21" s="75" t="inlineStr">
        <is>
          <t>Series A Investor</t>
        </is>
      </c>
      <c r="C21" s="110" t="n">
        <v>0</v>
      </c>
      <c r="D21" s="85" t="n">
        <v>0</v>
      </c>
      <c r="E21" s="85">
        <f>$C$9/$C$10</f>
        <v/>
      </c>
    </row>
    <row r="22">
      <c r="B22" s="72" t="inlineStr">
        <is>
          <t>Total</t>
        </is>
      </c>
      <c r="C22" s="84">
        <f>SUM(C16:C21)</f>
        <v/>
      </c>
      <c r="D22" s="84">
        <f>SUM(D16:D21)</f>
        <v/>
      </c>
      <c r="E22" s="84">
        <f>SUM(E16:E21)</f>
        <v/>
      </c>
    </row>
    <row r="24">
      <c r="B24" s="97" t="inlineStr">
        <is>
          <t>VALUE OF STAKE (R)</t>
        </is>
      </c>
      <c r="C24" s="97" t="n"/>
      <c r="D24" s="97" t="n"/>
      <c r="E24" s="97" t="n"/>
    </row>
    <row r="25">
      <c r="B25" s="81" t="inlineStr">
        <is>
          <t>Holder</t>
        </is>
      </c>
      <c r="C25" s="81" t="inlineStr">
        <is>
          <t>At Seed (R65m)</t>
        </is>
      </c>
      <c r="D25" s="81" t="inlineStr">
        <is>
          <t>At Series A</t>
        </is>
      </c>
      <c r="E25" s="81" t="inlineStr">
        <is>
          <t>At Exit</t>
        </is>
      </c>
    </row>
    <row r="26">
      <c r="B26" s="75" t="inlineStr">
        <is>
          <t>Johannes — Commercial Director</t>
        </is>
      </c>
      <c r="C26" s="83">
        <f>D16*$C$7</f>
        <v/>
      </c>
      <c r="D26" s="83">
        <f>E16*$C$10</f>
        <v/>
      </c>
      <c r="E26" s="74">
        <f>E16*$C$12</f>
        <v/>
      </c>
    </row>
    <row r="27">
      <c r="B27" s="75" t="inlineStr">
        <is>
          <t>Wilhelm — CTO</t>
        </is>
      </c>
      <c r="C27" s="83">
        <f>D17*$C$7</f>
        <v/>
      </c>
      <c r="D27" s="83">
        <f>E17*$C$10</f>
        <v/>
      </c>
      <c r="E27" s="74">
        <f>E17*$C$12</f>
        <v/>
      </c>
    </row>
    <row r="28">
      <c r="B28" s="75" t="inlineStr">
        <is>
          <t>Dean — COO</t>
        </is>
      </c>
      <c r="C28" s="83">
        <f>D18*$C$7</f>
        <v/>
      </c>
      <c r="D28" s="83">
        <f>E18*$C$10</f>
        <v/>
      </c>
      <c r="E28" s="74">
        <f>E18*$C$12</f>
        <v/>
      </c>
    </row>
    <row r="29">
      <c r="B29" s="75" t="inlineStr">
        <is>
          <t>Strategic Funder</t>
        </is>
      </c>
      <c r="C29" s="83">
        <f>D19*$C$7</f>
        <v/>
      </c>
      <c r="D29" s="83">
        <f>E19*$C$10</f>
        <v/>
      </c>
      <c r="E29" s="74">
        <f>E19*$C$12</f>
        <v/>
      </c>
    </row>
    <row r="30">
      <c r="B30" s="75" t="inlineStr">
        <is>
          <t>Seed Investor</t>
        </is>
      </c>
      <c r="C30" s="83">
        <f>D20*$C$7</f>
        <v/>
      </c>
      <c r="D30" s="83">
        <f>E20*$C$10</f>
        <v/>
      </c>
      <c r="E30" s="74">
        <f>E20*$C$12</f>
        <v/>
      </c>
    </row>
    <row r="31">
      <c r="B31" s="75" t="inlineStr">
        <is>
          <t>Series A Investor</t>
        </is>
      </c>
      <c r="C31" s="83">
        <f>D21*$C$7</f>
        <v/>
      </c>
      <c r="D31" s="83">
        <f>E21*$C$10</f>
        <v/>
      </c>
      <c r="E31" s="74">
        <f>E21*$C$12</f>
        <v/>
      </c>
    </row>
    <row r="32">
      <c r="B32" s="72" t="inlineStr">
        <is>
          <t>Total</t>
        </is>
      </c>
      <c r="C32" s="90">
        <f>SUM(C26:C31)</f>
        <v/>
      </c>
      <c r="D32" s="90">
        <f>SUM(D26:D31)</f>
        <v/>
      </c>
      <c r="E32" s="90">
        <f>SUM(E26:E31)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/>
  </sheetPr>
  <dimension ref="B1:G12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69" t="inlineStr">
        <is>
          <t>Funder Growth — value of each stake by round</t>
        </is>
      </c>
    </row>
    <row r="2">
      <c r="B2" s="70" t="inlineStr">
        <is>
          <t>Value of each holder's equity at Seed, Series A and Exit (base Y5 EV). MoM = exit value / cash invested.</t>
        </is>
      </c>
    </row>
    <row r="4">
      <c r="B4" s="97" t="inlineStr">
        <is>
          <t>Holder</t>
        </is>
      </c>
      <c r="C4" s="97" t="inlineStr">
        <is>
          <t>Invested (R)</t>
        </is>
      </c>
      <c r="D4" s="97" t="inlineStr">
        <is>
          <t>Value @ Seed</t>
        </is>
      </c>
      <c r="E4" s="97" t="inlineStr">
        <is>
          <t>Value @ Series A</t>
        </is>
      </c>
      <c r="F4" s="97" t="inlineStr">
        <is>
          <t>Value @ Exit</t>
        </is>
      </c>
      <c r="G4" s="97" t="inlineStr">
        <is>
          <t>Exit MoM</t>
        </is>
      </c>
    </row>
    <row r="5">
      <c r="B5" s="75" t="inlineStr">
        <is>
          <t>Johannes — Commercial Director</t>
        </is>
      </c>
      <c r="C5" s="83" t="n">
        <v>0</v>
      </c>
      <c r="D5" s="83">
        <f>'Cap Table'!C26</f>
        <v/>
      </c>
      <c r="E5" s="83">
        <f>'Cap Table'!D26</f>
        <v/>
      </c>
      <c r="F5" s="74">
        <f>'Cap Table'!E26</f>
        <v/>
      </c>
      <c r="G5" s="70" t="inlineStr">
        <is>
          <t>sweat</t>
        </is>
      </c>
    </row>
    <row r="6">
      <c r="B6" s="75" t="inlineStr">
        <is>
          <t>Wilhelm — CTO</t>
        </is>
      </c>
      <c r="C6" s="83" t="n">
        <v>0</v>
      </c>
      <c r="D6" s="83">
        <f>'Cap Table'!C27</f>
        <v/>
      </c>
      <c r="E6" s="83">
        <f>'Cap Table'!D27</f>
        <v/>
      </c>
      <c r="F6" s="74">
        <f>'Cap Table'!E27</f>
        <v/>
      </c>
      <c r="G6" s="70" t="inlineStr">
        <is>
          <t>sweat</t>
        </is>
      </c>
    </row>
    <row r="7">
      <c r="B7" s="75" t="inlineStr">
        <is>
          <t>Dean — COO</t>
        </is>
      </c>
      <c r="C7" s="83" t="n">
        <v>0</v>
      </c>
      <c r="D7" s="83">
        <f>'Cap Table'!C28</f>
        <v/>
      </c>
      <c r="E7" s="83">
        <f>'Cap Table'!D28</f>
        <v/>
      </c>
      <c r="F7" s="74">
        <f>'Cap Table'!E28</f>
        <v/>
      </c>
      <c r="G7" s="70" t="inlineStr">
        <is>
          <t>sweat</t>
        </is>
      </c>
    </row>
    <row r="8">
      <c r="B8" s="75" t="inlineStr">
        <is>
          <t>Strategic Funder</t>
        </is>
      </c>
      <c r="C8" s="83" t="n">
        <v>0</v>
      </c>
      <c r="D8" s="83">
        <f>'Cap Table'!C29</f>
        <v/>
      </c>
      <c r="E8" s="83">
        <f>'Cap Table'!D29</f>
        <v/>
      </c>
      <c r="F8" s="74">
        <f>'Cap Table'!E29</f>
        <v/>
      </c>
      <c r="G8" s="70" t="inlineStr">
        <is>
          <t>sweat</t>
        </is>
      </c>
    </row>
    <row r="9">
      <c r="B9" s="75" t="inlineStr">
        <is>
          <t>Seed Investor</t>
        </is>
      </c>
      <c r="C9" s="83">
        <f>'Cap Table'!C6</f>
        <v/>
      </c>
      <c r="D9" s="83">
        <f>'Cap Table'!C30</f>
        <v/>
      </c>
      <c r="E9" s="83">
        <f>'Cap Table'!D30</f>
        <v/>
      </c>
      <c r="F9" s="74">
        <f>'Cap Table'!E30</f>
        <v/>
      </c>
      <c r="G9" s="111">
        <f>F9/C9</f>
        <v/>
      </c>
    </row>
    <row r="10">
      <c r="B10" s="75" t="inlineStr">
        <is>
          <t>Series A Investor</t>
        </is>
      </c>
      <c r="C10" s="83">
        <f>'Cap Table'!C9</f>
        <v/>
      </c>
      <c r="D10" s="83">
        <f>'Cap Table'!C31</f>
        <v/>
      </c>
      <c r="E10" s="83">
        <f>'Cap Table'!D31</f>
        <v/>
      </c>
      <c r="F10" s="74">
        <f>'Cap Table'!E31</f>
        <v/>
      </c>
      <c r="G10" s="111">
        <f>F10/C10</f>
        <v/>
      </c>
    </row>
    <row r="12">
      <c r="B12" s="70" t="inlineStr">
        <is>
          <t>Founders hold 25% each for sweat; the Strategic Funder is an existing 25% holder. Exit uses the base-case Y5 EV (editable on Cap Table).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EA5E9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6" customWidth="1" min="4" max="4"/>
    <col width="18" customWidth="1" min="5" max="5"/>
    <col width="18" customWidth="1" min="6" max="6"/>
    <col width="16" customWidth="1" min="7" max="7"/>
    <col width="26" customWidth="1" min="8" max="8"/>
  </cols>
  <sheetData>
    <row r="1">
      <c r="B1" s="69" t="inlineStr">
        <is>
          <t>Competitive Landscape</t>
        </is>
      </c>
    </row>
    <row r="2">
      <c r="B2" s="70" t="inlineStr">
        <is>
          <t>Sold Direct is the only 0%-to-consumer player that monetises the financial ecosystem around the deal via WhatsApp.</t>
        </is>
      </c>
    </row>
    <row r="3"/>
    <row r="4">
      <c r="B4" s="100" t="inlineStr">
        <is>
          <t>Player</t>
        </is>
      </c>
      <c r="C4" s="100" t="inlineStr">
        <is>
          <t>Model</t>
        </is>
      </c>
      <c r="D4" s="100" t="inlineStr">
        <is>
          <t>Cost to seller</t>
        </is>
      </c>
      <c r="E4" s="100" t="inlineStr">
        <is>
          <t>Channel</t>
        </is>
      </c>
      <c r="F4" s="100" t="inlineStr">
        <is>
          <t>Bond / finance</t>
        </is>
      </c>
      <c r="G4" s="100" t="inlineStr">
        <is>
          <t>Ecosystem revenue</t>
        </is>
      </c>
      <c r="H4" s="100" t="inlineStr">
        <is>
          <t>Segment / status</t>
        </is>
      </c>
    </row>
    <row r="5">
      <c r="B5" s="101" t="inlineStr">
        <is>
          <t>Sold Direct</t>
        </is>
      </c>
      <c r="C5" s="102" t="inlineStr">
        <is>
          <t>0% marketplace + concierge</t>
        </is>
      </c>
      <c r="D5" s="102" t="inlineStr">
        <is>
          <t>0% (1% non-partner)</t>
        </is>
      </c>
      <c r="E5" s="102" t="inlineStr">
        <is>
          <t>WhatsApp-native</t>
        </is>
      </c>
      <c r="F5" s="102" t="inlineStr">
        <is>
          <t>Multi-bank origination referral (core)</t>
        </is>
      </c>
      <c r="G5" s="102" t="inlineStr">
        <is>
          <t>Yes — insurance, solar, moving, life cover…</t>
        </is>
      </c>
      <c r="H5" s="102" t="inlineStr">
        <is>
          <t>Prime first; launching</t>
        </is>
      </c>
    </row>
    <row r="6">
      <c r="B6" s="103" t="inlineStr">
        <is>
          <t>Traditional agencies
(Pam Golding, Seeff, RE/MAX, Rawson)</t>
        </is>
      </c>
      <c r="C6" s="99" t="inlineStr">
        <is>
          <t>Full-service agency</t>
        </is>
      </c>
      <c r="D6" s="99" t="inlineStr">
        <is>
          <t>5–7% + VAT</t>
        </is>
      </c>
      <c r="E6" s="99" t="inlineStr">
        <is>
          <t>Agents + portals</t>
        </is>
      </c>
      <c r="F6" s="99" t="inlineStr">
        <is>
          <t>Refer to originators</t>
        </is>
      </c>
      <c r="G6" s="99" t="inlineStr">
        <is>
          <t>Limited (referrals)</t>
        </is>
      </c>
      <c r="H6" s="99" t="inlineStr">
        <is>
          <t>Full-service sellers; established, commission-funded</t>
        </is>
      </c>
    </row>
    <row r="7">
      <c r="B7" s="103" t="inlineStr">
        <is>
          <t>Property24</t>
        </is>
      </c>
      <c r="C7" s="99" t="inlineStr">
        <is>
          <t>Listings portal</t>
        </is>
      </c>
      <c r="D7" s="99" t="inlineStr">
        <is>
          <t>Portal fees (to agents)</t>
        </is>
      </c>
      <c r="E7" s="99" t="inlineStr">
        <is>
          <t>Web / app portal</t>
        </is>
      </c>
      <c r="F7" s="99" t="inlineStr">
        <is>
          <t>Bond calculators &amp; leads</t>
        </is>
      </c>
      <c r="G7" s="99" t="inlineStr">
        <is>
          <t>Ad / lead revenue</t>
        </is>
      </c>
      <c r="H7" s="99" t="inlineStr">
        <is>
          <t>All; dominant portal (Prosus)</t>
        </is>
      </c>
    </row>
    <row r="8">
      <c r="B8" s="103" t="inlineStr">
        <is>
          <t>Private Property</t>
        </is>
      </c>
      <c r="C8" s="99" t="inlineStr">
        <is>
          <t>Listings portal</t>
        </is>
      </c>
      <c r="D8" s="99" t="inlineStr">
        <is>
          <t>Listing / portal fees</t>
        </is>
      </c>
      <c r="E8" s="99" t="inlineStr">
        <is>
          <t>Web portal</t>
        </is>
      </c>
      <c r="F8" s="99" t="inlineStr">
        <is>
          <t>Bond referral</t>
        </is>
      </c>
      <c r="G8" s="99" t="inlineStr">
        <is>
          <t>Ad / lead revenue</t>
        </is>
      </c>
      <c r="H8" s="99" t="inlineStr">
        <is>
          <t>All; #2 portal</t>
        </is>
      </c>
    </row>
    <row r="9">
      <c r="B9" s="103" t="inlineStr">
        <is>
          <t>PropertyFox</t>
        </is>
      </c>
      <c r="C9" s="99" t="inlineStr">
        <is>
          <t>Low-commission hybrid</t>
        </is>
      </c>
      <c r="D9" s="99" t="inlineStr">
        <is>
          <t>~1.5% flat</t>
        </is>
      </c>
      <c r="E9" s="99" t="inlineStr">
        <is>
          <t>Online + agents</t>
        </is>
      </c>
      <c r="F9" s="99" t="inlineStr">
        <is>
          <t>—</t>
        </is>
      </c>
      <c r="G9" s="99" t="inlineStr">
        <is>
          <t>Limited</t>
        </is>
      </c>
      <c r="H9" s="99" t="inlineStr">
        <is>
          <t>Mid; struggled / sold — cautionary</t>
        </is>
      </c>
    </row>
    <row r="10">
      <c r="B10" s="103" t="inlineStr">
        <is>
          <t>Leadhome</t>
        </is>
      </c>
      <c r="C10" s="99" t="inlineStr">
        <is>
          <t>Fixed-fee online agency</t>
        </is>
      </c>
      <c r="D10" s="99" t="inlineStr">
        <is>
          <t>Low fixed fee</t>
        </is>
      </c>
      <c r="E10" s="99" t="inlineStr">
        <is>
          <t>Online + agents</t>
        </is>
      </c>
      <c r="F10" s="99" t="inlineStr">
        <is>
          <t>—</t>
        </is>
      </c>
      <c r="G10" s="99" t="inlineStr">
        <is>
          <t>Limited</t>
        </is>
      </c>
      <c r="H10" s="99" t="inlineStr">
        <is>
          <t>Mid; wound down — cautionary</t>
        </is>
      </c>
    </row>
    <row r="11">
      <c r="B11" s="103" t="inlineStr">
        <is>
          <t>ooba / BetterBond</t>
        </is>
      </c>
      <c r="C11" s="99" t="inlineStr">
        <is>
          <t>Bond originators</t>
        </is>
      </c>
      <c r="D11" s="99" t="inlineStr">
        <is>
          <t>Free to consumer</t>
        </is>
      </c>
      <c r="E11" s="99" t="inlineStr">
        <is>
          <t>Web / agents</t>
        </is>
      </c>
      <c r="F11" s="99" t="inlineStr">
        <is>
          <t>Core business</t>
        </is>
      </c>
      <c r="G11" s="99" t="inlineStr">
        <is>
          <t>—</t>
        </is>
      </c>
      <c r="H11" s="99" t="inlineStr">
        <is>
          <t>Bonded buyers — PARTNERS, not rivals</t>
        </is>
      </c>
    </row>
    <row r="12">
      <c r="B12" s="103" t="inlineStr">
        <is>
          <t>Purplebricks (UK)</t>
        </is>
      </c>
      <c r="C12" s="99" t="inlineStr">
        <is>
          <t>Fixed-fee online agency</t>
        </is>
      </c>
      <c r="D12" s="99" t="inlineStr">
        <is>
          <t>Fixed fee</t>
        </is>
      </c>
      <c r="E12" s="99" t="inlineStr">
        <is>
          <t>Online</t>
        </is>
      </c>
      <c r="F12" s="99" t="inlineStr">
        <is>
          <t>—</t>
        </is>
      </c>
      <c r="G12" s="99" t="inlineStr">
        <is>
          <t>Limited</t>
        </is>
      </c>
      <c r="H12" s="99" t="inlineStr">
        <is>
          <t>Defunct: £240m IPO → £1 — CAC warning</t>
        </is>
      </c>
    </row>
    <row r="14">
      <c r="B14" t="inlineStr">
        <is>
          <t>NOTE: Traditional agents serve the full-service segment - complementary, not a target. Sold Direct serves sellers who choose to sell privately, assisted by our own employed, registered practitioners (PPRA/FFC).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F4444"/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13" customWidth="1" min="3" max="3"/>
    <col width="5" customWidth="1" min="4" max="4"/>
    <col width="5" customWidth="1" min="5" max="5"/>
    <col width="6" customWidth="1" min="6" max="6"/>
    <col width="52" customWidth="1" min="7" max="7"/>
  </cols>
  <sheetData>
    <row r="1">
      <c r="B1" s="69" t="inlineStr">
        <is>
          <t>Risk Register</t>
        </is>
      </c>
    </row>
    <row r="2">
      <c r="B2" s="70" t="inlineStr">
        <is>
          <t>Likelihood (L) &amp; Impact (I): 1=Low, 2=Med, 3=High. Severity = L×I (green ≤2, amber 3–4, red ≥6).</t>
        </is>
      </c>
    </row>
    <row r="4">
      <c r="B4" s="100" t="inlineStr">
        <is>
          <t>Risk</t>
        </is>
      </c>
      <c r="C4" s="100" t="inlineStr">
        <is>
          <t>Category</t>
        </is>
      </c>
      <c r="D4" s="104" t="inlineStr">
        <is>
          <t>L</t>
        </is>
      </c>
      <c r="E4" s="104" t="inlineStr">
        <is>
          <t>I</t>
        </is>
      </c>
      <c r="F4" s="104" t="inlineStr">
        <is>
          <t>Sev</t>
        </is>
      </c>
      <c r="G4" s="100" t="inlineStr">
        <is>
          <t>Mitigation</t>
        </is>
      </c>
    </row>
    <row r="5">
      <c r="B5" s="99" t="inlineStr">
        <is>
          <t>ATL marketing doesn't convert to deals (CAC blows out)</t>
        </is>
      </c>
      <c r="C5" s="88" t="inlineStr">
        <is>
          <t>Growth</t>
        </is>
      </c>
      <c r="D5" s="105" t="n">
        <v>2</v>
      </c>
      <c r="E5" s="105" t="n">
        <v>3</v>
      </c>
      <c r="F5" s="106">
        <f>D5*E5</f>
        <v/>
      </c>
      <c r="G5" s="99" t="inlineStr">
        <is>
          <t>Pilot ATL in CT before scaling; track CAC payback; throttle spend to cash</t>
        </is>
      </c>
    </row>
    <row r="6">
      <c r="B6" s="99" t="inlineStr">
        <is>
          <t>Prime pool smaller / ~20% share too ambitious</t>
        </is>
      </c>
      <c r="C6" s="88" t="inlineStr">
        <is>
          <t>Market</t>
        </is>
      </c>
      <c r="D6" s="105" t="n">
        <v>2</v>
      </c>
      <c r="E6" s="105" t="n">
        <v>3</v>
      </c>
      <c r="F6" s="106">
        <f>D6*E6</f>
        <v/>
      </c>
      <c r="G6" s="99" t="inlineStr">
        <is>
          <t>Confirm prime-pool data; conservative case ≈14% share; widen to upper-mid segment</t>
        </is>
      </c>
    </row>
    <row r="7">
      <c r="B7" s="99" t="inlineStr">
        <is>
          <t>Regulatory — PPRA/FFC; bond-steering; FAIS/FSP &amp; NCA once originating in-house</t>
        </is>
      </c>
      <c r="C7" s="88" t="inlineStr">
        <is>
          <t>Regulatory</t>
        </is>
      </c>
      <c r="D7" s="105" t="n">
        <v>2</v>
      </c>
      <c r="E7" s="105" t="n">
        <v>3</v>
      </c>
      <c r="F7" s="106">
        <f>D7*E7</f>
        <v/>
      </c>
      <c r="G7" s="99" t="inlineStr">
        <is>
          <t>Registered practitioner + FFC; multi-bank (no steering); FSP accreditation before Y2 switch; legal sign-off before launch</t>
        </is>
      </c>
    </row>
    <row r="8">
      <c r="B8" s="99" t="inlineStr">
        <is>
          <t>POPIA / data breach (IDs, payslips, bank data)</t>
        </is>
      </c>
      <c r="C8" s="88" t="inlineStr">
        <is>
          <t>Compliance</t>
        </is>
      </c>
      <c r="D8" s="105" t="n">
        <v>2</v>
      </c>
      <c r="E8" s="105" t="n">
        <v>3</v>
      </c>
      <c r="F8" s="106">
        <f>D8*E8</f>
        <v/>
      </c>
      <c r="G8" s="99" t="inlineStr">
        <is>
          <t>Encrypt at rest, minimise PII, consent logging, DPAs, security review (already in build)</t>
        </is>
      </c>
    </row>
    <row r="9">
      <c r="B9" s="99" t="inlineStr">
        <is>
          <t>Trust/adoption — sellers wary of a new brand for R6m+ sale</t>
        </is>
      </c>
      <c r="C9" s="88" t="inlineStr">
        <is>
          <t>Adoption</t>
        </is>
      </c>
      <c r="D9" s="105" t="n">
        <v>2</v>
      </c>
      <c r="E9" s="105" t="n">
        <v>3</v>
      </c>
      <c r="F9" s="106">
        <f>D9*E9</f>
        <v/>
      </c>
      <c r="G9" s="99" t="inlineStr">
        <is>
          <t>Concierge model, panel conveyancers (funds in trust), testimonials, bank-sponsor halo</t>
        </is>
      </c>
    </row>
    <row r="10">
      <c r="B10" s="99" t="inlineStr">
        <is>
          <t>Partner concentration (ooba, sponsor, conveyancers)</t>
        </is>
      </c>
      <c r="C10" s="88" t="inlineStr">
        <is>
          <t>Partner</t>
        </is>
      </c>
      <c r="D10" s="105" t="n">
        <v>2</v>
      </c>
      <c r="E10" s="105" t="n">
        <v>2</v>
      </c>
      <c r="F10" s="107">
        <f>D10*E10</f>
        <v/>
      </c>
      <c r="G10" s="99" t="inlineStr">
        <is>
          <t>Multi-bank via ooba; multiple conveyancers; non-exclusive sponsor</t>
        </is>
      </c>
    </row>
    <row r="11">
      <c r="B11" s="99" t="inlineStr">
        <is>
          <t>Industry response (portals / agencies compete on price or copy features)</t>
        </is>
      </c>
      <c r="C11" s="88" t="inlineStr">
        <is>
          <t>Competitive</t>
        </is>
      </c>
      <c r="D11" s="105" t="n">
        <v>2</v>
      </c>
      <c r="E11" s="105" t="n">
        <v>2</v>
      </c>
      <c r="F11" s="107">
        <f>D11*E11</f>
        <v/>
      </c>
      <c r="G11" s="99" t="inlineStr">
        <is>
          <t>Position as complementary to full-service agents (private-sale segment only); we employ registered practitioners; no anti-agent marketing; speed + WhatsApp UX + ecosystem + data advantage</t>
        </is>
      </c>
    </row>
    <row r="12">
      <c r="B12" s="99" t="inlineStr">
        <is>
          <t>AI agents underperform for high-touch prime clients</t>
        </is>
      </c>
      <c r="C12" s="88" t="inlineStr">
        <is>
          <t>Operational</t>
        </is>
      </c>
      <c r="D12" s="105" t="n">
        <v>2</v>
      </c>
      <c r="E12" s="105" t="n">
        <v>2</v>
      </c>
      <c r="F12" s="107">
        <f>D12*E12</f>
        <v/>
      </c>
      <c r="G12" s="99" t="inlineStr">
        <is>
          <t>Human-in-the-loop on prime; AI for coordination not advice; QA + escalation</t>
        </is>
      </c>
    </row>
    <row r="13">
      <c r="B13" s="99" t="inlineStr">
        <is>
          <t>Property downturn / rates → fewer transactions</t>
        </is>
      </c>
      <c r="C13" s="88" t="inlineStr">
        <is>
          <t>Macro</t>
        </is>
      </c>
      <c r="D13" s="105" t="n">
        <v>2</v>
      </c>
      <c r="E13" s="105" t="n">
        <v>2</v>
      </c>
      <c r="F13" s="107">
        <f>D13*E13</f>
        <v/>
      </c>
      <c r="G13" s="99" t="inlineStr">
        <is>
          <t>Counter-cyclical 0% appeal; lean cost base; flex marketing spend</t>
        </is>
      </c>
    </row>
    <row r="14">
      <c r="B14" s="99" t="inlineStr">
        <is>
          <t>WhatsApp / Meta platform &amp; pricing dependency</t>
        </is>
      </c>
      <c r="C14" s="88" t="inlineStr">
        <is>
          <t>Platform</t>
        </is>
      </c>
      <c r="D14" s="105" t="n">
        <v>1</v>
      </c>
      <c r="E14" s="105" t="n">
        <v>2</v>
      </c>
      <c r="F14" s="108">
        <f>D14*E14</f>
        <v/>
      </c>
      <c r="G14" s="99" t="inlineStr">
        <is>
          <t>BSP-agnostic adapter (built); web fallback; monitor Meta pricing</t>
        </is>
      </c>
    </row>
    <row r="15">
      <c r="B15" s="99" t="inlineStr">
        <is>
          <t>Key-person / small-team dependency</t>
        </is>
      </c>
      <c r="C15" s="88" t="inlineStr">
        <is>
          <t>Team</t>
        </is>
      </c>
      <c r="D15" s="105" t="n">
        <v>2</v>
      </c>
      <c r="E15" s="105" t="n">
        <v>2</v>
      </c>
      <c r="F15" s="107">
        <f>D15*E15</f>
        <v/>
      </c>
      <c r="G15" s="99" t="inlineStr">
        <is>
          <t>Document + cross-train; AI leverage; hire on the raise</t>
        </is>
      </c>
    </row>
    <row r="16">
      <c r="B16" s="99" t="inlineStr">
        <is>
          <t>High-margin assumptions hurt the fundraise</t>
        </is>
      </c>
      <c r="C16" s="88" t="inlineStr">
        <is>
          <t>Funding</t>
        </is>
      </c>
      <c r="D16" s="105" t="n">
        <v>2</v>
      </c>
      <c r="E16" s="105" t="n">
        <v>2</v>
      </c>
      <c r="F16" s="107">
        <f>D16*E16</f>
        <v/>
      </c>
      <c r="G16" s="99" t="inlineStr">
        <is>
          <t>Lead with conservative case + traction; reinvest-for-growth framing</t>
        </is>
      </c>
    </row>
    <row r="17">
      <c r="B17" s="99" t="inlineStr">
        <is>
          <t>In-house bond origination — bank aggregation agreements &amp; FAIS/FSP accreditation (Y2)</t>
        </is>
      </c>
      <c r="C17" s="88" t="inlineStr">
        <is>
          <t>Regulatory/Partner</t>
        </is>
      </c>
      <c r="D17" s="105" t="n">
        <v>2</v>
      </c>
      <c r="E17" s="105" t="n">
        <v>3</v>
      </c>
      <c r="F17" s="107">
        <f>D17*E17</f>
        <v/>
      </c>
      <c r="G17" s="99" t="inlineStr">
        <is>
          <t>Y1 via ooba = runway; sign multi-bank aggregation pre-Y2; FSP accreditation; phase-in; ooba fallback if a bank agreement slips</t>
        </is>
      </c>
    </row>
    <row r="18">
      <c r="B18" s="70" t="inlineStr">
        <is>
          <t>Top risks (Sev 6): marketing-conversion, prime-share, in-house-origination readiness, regulatory, POPIA, trust/adoption — each has an owner action above.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0EA5E9"/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10" defaultColWidth="8.83203125" defaultRowHeight="15"/>
  <cols>
    <col width="1" customWidth="1" min="1" max="1"/>
    <col width="53.33203125" customWidth="1" min="2" max="2"/>
    <col width="16.6640625" customWidth="1" min="3" max="7"/>
  </cols>
  <sheetData>
    <row r="1" ht="21" customHeight="1">
      <c r="B1" s="8" t="inlineStr">
        <is>
          <t>Ancillary / Ecosystem Revenue — the value of the database</t>
        </is>
      </c>
    </row>
    <row r="2">
      <c r="B2" s="46" t="inlineStr">
        <is>
          <t>Referral &amp; commission streams unlocked by owning the homeowner relationship + data. Optional: toggle into the P&amp;L on Assumptions!C61.</t>
        </is>
      </c>
    </row>
    <row r="4">
      <c r="B4" s="36" t="inlineStr">
        <is>
          <t>Revenue stream</t>
        </is>
      </c>
      <c r="C4" s="36" t="inlineStr">
        <is>
          <t>Low (R)</t>
        </is>
      </c>
      <c r="D4" s="36" t="inlineStr">
        <is>
          <t>High (R)</t>
        </is>
      </c>
      <c r="E4" s="36" t="inlineStr">
        <is>
          <t>Midpoint (R)</t>
        </is>
      </c>
      <c r="F4" s="36" t="inlineStr">
        <is>
          <t>Attach %</t>
        </is>
      </c>
      <c r="G4" s="36" t="inlineStr">
        <is>
          <t>Captured/deal (R)</t>
        </is>
      </c>
    </row>
    <row r="5">
      <c r="B5" s="24" t="inlineStr">
        <is>
          <t>Homeowners insurance commission</t>
        </is>
      </c>
      <c r="C5" s="95" t="n">
        <v>1500</v>
      </c>
      <c r="D5" s="95" t="n">
        <v>4000</v>
      </c>
      <c r="E5" s="96">
        <f>AVERAGE(C5:D5)</f>
        <v/>
      </c>
      <c r="F5" s="49" t="n">
        <v>0.3</v>
      </c>
      <c r="G5" s="96">
        <f>E5*F5</f>
        <v/>
      </c>
    </row>
    <row r="6">
      <c r="B6" s="24" t="inlineStr">
        <is>
          <t>Household contents insurance</t>
        </is>
      </c>
      <c r="C6" s="95" t="n">
        <v>500</v>
      </c>
      <c r="D6" s="95" t="n">
        <v>2000</v>
      </c>
      <c r="E6" s="96">
        <f>AVERAGE(C6:D6)</f>
        <v/>
      </c>
      <c r="F6" s="49" t="n">
        <v>0.25</v>
      </c>
      <c r="G6" s="96">
        <f>E6*F6</f>
        <v/>
      </c>
    </row>
    <row r="7">
      <c r="B7" s="24" t="inlineStr">
        <is>
          <t>Conveyancing referral/marketing fee (already in core)</t>
        </is>
      </c>
      <c r="C7" s="95" t="n">
        <v>3000</v>
      </c>
      <c r="D7" s="95" t="n">
        <v>8000</v>
      </c>
      <c r="E7" s="96">
        <f>AVERAGE(C7:D7)</f>
        <v/>
      </c>
      <c r="F7" s="49" t="n">
        <v>0</v>
      </c>
      <c r="G7" s="96">
        <f>E7*F7</f>
        <v/>
      </c>
    </row>
    <row r="8">
      <c r="B8" s="24" t="inlineStr">
        <is>
          <t>Moving company referral</t>
        </is>
      </c>
      <c r="C8" s="95" t="n">
        <v>500</v>
      </c>
      <c r="D8" s="95" t="n">
        <v>2000</v>
      </c>
      <c r="E8" s="96">
        <f>AVERAGE(C8:D8)</f>
        <v/>
      </c>
      <c r="F8" s="49" t="n">
        <v>0.2</v>
      </c>
      <c r="G8" s="96">
        <f>E8*F8</f>
        <v/>
      </c>
    </row>
    <row r="9">
      <c r="B9" s="24" t="inlineStr">
        <is>
          <t>Fibre / internet installation</t>
        </is>
      </c>
      <c r="C9" s="95" t="n">
        <v>500</v>
      </c>
      <c r="D9" s="95" t="n">
        <v>1500</v>
      </c>
      <c r="E9" s="96">
        <f>AVERAGE(C9:D9)</f>
        <v/>
      </c>
      <c r="F9" s="49" t="n">
        <v>0.2</v>
      </c>
      <c r="G9" s="96">
        <f>E9*F9</f>
        <v/>
      </c>
    </row>
    <row r="10">
      <c r="B10" s="24" t="inlineStr">
        <is>
          <t>Security system installation</t>
        </is>
      </c>
      <c r="C10" s="95" t="n">
        <v>1000</v>
      </c>
      <c r="D10" s="95" t="n">
        <v>3000</v>
      </c>
      <c r="E10" s="96">
        <f>AVERAGE(C10:D10)</f>
        <v/>
      </c>
      <c r="F10" s="49" t="n">
        <v>0.15</v>
      </c>
      <c r="G10" s="96">
        <f>E10*F10</f>
        <v/>
      </c>
    </row>
    <row r="11">
      <c r="B11" s="24" t="inlineStr">
        <is>
          <t>Utility connection service</t>
        </is>
      </c>
      <c r="C11" s="95" t="n">
        <v>250</v>
      </c>
      <c r="D11" s="95" t="n">
        <v>1000</v>
      </c>
      <c r="E11" s="96">
        <f>AVERAGE(C11:D11)</f>
        <v/>
      </c>
      <c r="F11" s="49" t="n">
        <v>0.3</v>
      </c>
      <c r="G11" s="96">
        <f>E11*F11</f>
        <v/>
      </c>
    </row>
    <row r="12">
      <c r="B12" s="24" t="inlineStr">
        <is>
          <t>Home warranty / product upsell</t>
        </is>
      </c>
      <c r="C12" s="95" t="n">
        <v>500</v>
      </c>
      <c r="D12" s="95" t="n">
        <v>2500</v>
      </c>
      <c r="E12" s="96">
        <f>AVERAGE(C12:D12)</f>
        <v/>
      </c>
      <c r="F12" s="49" t="n">
        <v>0.1</v>
      </c>
      <c r="G12" s="96">
        <f>E12*F12</f>
        <v/>
      </c>
    </row>
    <row r="13">
      <c r="B13" s="24" t="inlineStr">
        <is>
          <t>Compliance certificates (already in core add-ons)</t>
        </is>
      </c>
      <c r="C13" s="95" t="n">
        <v>500</v>
      </c>
      <c r="D13" s="95" t="n">
        <v>2000</v>
      </c>
      <c r="E13" s="96">
        <f>AVERAGE(C13:D13)</f>
        <v/>
      </c>
      <c r="F13" s="49" t="n">
        <v>0</v>
      </c>
      <c r="G13" s="96">
        <f>E13*F13</f>
        <v/>
      </c>
    </row>
    <row r="14">
      <c r="B14" s="24" t="inlineStr">
        <is>
          <t>Solar installation referral</t>
        </is>
      </c>
      <c r="C14" s="95" t="n">
        <v>5000</v>
      </c>
      <c r="D14" s="95" t="n">
        <v>20000</v>
      </c>
      <c r="E14" s="96">
        <f>AVERAGE(C14:D14)</f>
        <v/>
      </c>
      <c r="F14" s="49" t="n">
        <v>0.05</v>
      </c>
      <c r="G14" s="96">
        <f>E14*F14</f>
        <v/>
      </c>
    </row>
    <row r="15">
      <c r="B15" s="24" t="inlineStr">
        <is>
          <t>Home improvement / renovation referrals</t>
        </is>
      </c>
      <c r="C15" s="95" t="n">
        <v>2000</v>
      </c>
      <c r="D15" s="95" t="n">
        <v>15000</v>
      </c>
      <c r="E15" s="96">
        <f>AVERAGE(C15:D15)</f>
        <v/>
      </c>
      <c r="F15" s="49" t="n">
        <v>0.08</v>
      </c>
      <c r="G15" s="96">
        <f>E15*F15</f>
        <v/>
      </c>
    </row>
    <row r="16">
      <c r="B16" s="24" t="inlineStr">
        <is>
          <t>Storage solutions referral</t>
        </is>
      </c>
      <c r="C16" s="95" t="n">
        <v>500</v>
      </c>
      <c r="D16" s="95" t="n">
        <v>2000</v>
      </c>
      <c r="E16" s="96">
        <f>AVERAGE(C16:D16)</f>
        <v/>
      </c>
      <c r="F16" s="49" t="n">
        <v>0.1</v>
      </c>
      <c r="G16" s="96">
        <f>E16*F16</f>
        <v/>
      </c>
    </row>
    <row r="17">
      <c r="B17" s="24" t="inlineStr">
        <is>
          <t>Short-term insurance cross-sell (car/business)</t>
        </is>
      </c>
      <c r="C17" s="95" t="n">
        <v>1000</v>
      </c>
      <c r="D17" s="95" t="n">
        <v>5000</v>
      </c>
      <c r="E17" s="96">
        <f>AVERAGE(C17:D17)</f>
        <v/>
      </c>
      <c r="F17" s="49" t="n">
        <v>0.1</v>
      </c>
      <c r="G17" s="96">
        <f>E17*F17</f>
        <v/>
      </c>
    </row>
    <row r="18">
      <c r="B18" s="24" t="inlineStr">
        <is>
          <t>Life cover linked to the bond</t>
        </is>
      </c>
      <c r="C18" s="95" t="n">
        <v>2000</v>
      </c>
      <c r="D18" s="95" t="n">
        <v>10000</v>
      </c>
      <c r="E18" s="96">
        <f>AVERAGE(C18:D18)</f>
        <v/>
      </c>
      <c r="F18" s="49" t="n">
        <v>0.15</v>
      </c>
      <c r="G18" s="96">
        <f>E18*F18</f>
        <v/>
      </c>
    </row>
    <row r="19">
      <c r="B19" s="24" t="inlineStr">
        <is>
          <t>Estate planning / will services</t>
        </is>
      </c>
      <c r="C19" s="95" t="n">
        <v>500</v>
      </c>
      <c r="D19" s="95" t="n">
        <v>2000</v>
      </c>
      <c r="E19" s="96">
        <f>AVERAGE(C19:D19)</f>
        <v/>
      </c>
      <c r="F19" s="49" t="n">
        <v>0.1</v>
      </c>
      <c r="G19" s="96">
        <f>E19*F19</f>
        <v/>
      </c>
    </row>
    <row r="21">
      <c r="B21" s="50" t="inlineStr">
        <is>
          <t>FULL ecosystem potential / customer (sum of midpoints)</t>
        </is>
      </c>
      <c r="C21" s="51" t="n"/>
      <c r="D21" s="51" t="n"/>
      <c r="E21" s="67">
        <f>SUM(E5:E19)</f>
        <v/>
      </c>
      <c r="F21" s="51" t="n"/>
      <c r="G21" s="51" t="n"/>
    </row>
    <row r="22">
      <c r="B22" s="50" t="inlineStr">
        <is>
          <t>Realistic ADDITIONAL captured / deal (sum of captured)</t>
        </is>
      </c>
      <c r="C22" s="51" t="n"/>
      <c r="D22" s="51" t="n"/>
      <c r="E22" s="51" t="n"/>
      <c r="F22" s="51" t="n"/>
      <c r="G22" s="67">
        <f>SUM(G5:G19)</f>
        <v/>
      </c>
    </row>
    <row r="24">
      <c r="B24" s="46" t="inlineStr">
        <is>
          <t>Conveyancing &amp; compliance certs are already counted in the core model (attach set to 0 here to avoid double-counting).</t>
        </is>
      </c>
    </row>
    <row r="25">
      <c r="B25" s="46" t="inlineStr">
        <is>
          <t>Strategic point: each registered customer is worth up to ~R50k of ecosystem referral revenue. Even ~10% capture ≈ R5k/deal — the database is the moat.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4748B"/>
    <outlinePr summaryBelow="1" summaryRight="1"/>
    <pageSetUpPr/>
  </sheetPr>
  <dimension ref="B1:B29"/>
  <sheetViews>
    <sheetView showGridLines="0" workbookViewId="0">
      <selection activeCell="B30" sqref="B30"/>
    </sheetView>
  </sheetViews>
  <sheetFormatPr baseColWidth="10" defaultColWidth="8.83203125" defaultRowHeight="15"/>
  <cols>
    <col width="1" customWidth="1" min="1" max="1"/>
    <col width="183.33203125" customWidth="1" min="2" max="2"/>
  </cols>
  <sheetData>
    <row r="1" ht="21" customHeight="1">
      <c r="B1" s="52" t="inlineStr">
        <is>
          <t>Sold Direct — model notes &amp; sources</t>
        </is>
      </c>
    </row>
    <row r="2">
      <c r="B2" s="7" t="n"/>
    </row>
    <row r="3">
      <c r="B3" s="56" t="inlineStr">
        <is>
          <t>Strategy: prime / upper-market focus (Atlantic Seaboard, City Bowl, Southern Suburbs, Constantia; then prime JHB-north &amp; Umhlanga).</t>
        </is>
      </c>
    </row>
    <row r="4">
      <c r="B4" s="7" t="n"/>
    </row>
    <row r="5">
      <c r="B5" s="53" t="inlineStr">
        <is>
          <t>MONETISATION (legally clean - no bank exclusivity):</t>
        </is>
      </c>
    </row>
    <row r="6">
      <c r="B6" s="55" t="inlineStr">
        <is>
          <t>• Free 0% requires a qualifying &gt;=80% bond + our conveyancer; buyer keeps full rate choice. Y1: placed via our MULTI-BANK originator (ooba) — referral ~0.5% of bond. Y2+: origination goes IN-HOUSE, direct with the banks (full commission ~1.5% of bond, ~3x the referral) — needs bank aggregation agreements + FAIS/FSP accreditation; Y1 via ooba is the runway to secure them.</t>
        </is>
      </c>
    </row>
    <row r="7">
      <c r="B7" s="55" t="inlineStr">
        <is>
          <t>• Otherwise a 1% facilitation fee on the price (cash / sub-80% / not using our partners) - ~6x less than a typical full-service commission (5-7% + VAT), stated as a neutral benchmark.</t>
        </is>
      </c>
    </row>
    <row r="8">
      <c r="B8" s="55" t="inlineStr">
        <is>
          <t>• Bank HEADLINE SPONSORSHIP: a bank pays an annual fee to be the featured sponsor / brand on the platform (advertising, not steering) - high-margin, grows with audience.</t>
        </is>
      </c>
    </row>
    <row r="9">
      <c r="B9" s="55" t="n"/>
    </row>
    <row r="10">
      <c r="B10" s="54" t="inlineStr">
        <is>
          <t>THE DATABASE / ECOSYSTEM (see Ancillary Revenue tab):</t>
        </is>
      </c>
    </row>
    <row r="11">
      <c r="B11" s="53" t="inlineStr">
        <is>
          <t>• Owning the homeowner relationship unlocks a referral menu worth ~R50k of ecosystem revenue per customer (insurance, solar, moving, fibre, security, life cover, etc.).</t>
        </is>
      </c>
    </row>
    <row r="12">
      <c r="B12" s="55" t="inlineStr">
        <is>
          <t>• Modelled conservatively as OPTIONAL: ~R5k additional captured per deal (~10% blended capture). Toggle into the P&amp;L on Assumptions!C61 (default off).</t>
        </is>
      </c>
    </row>
    <row r="13">
      <c r="B13" s="55" t="inlineStr">
        <is>
          <t>• This is the moat and the expansion-revenue story - default off keeps the headline P&amp;L conservative; turning it on adds ~R14m to Y5 base revenue.</t>
        </is>
      </c>
    </row>
    <row r="14">
      <c r="B14" s="55" t="n"/>
    </row>
    <row r="15">
      <c r="B15" s="54" t="inlineStr">
        <is>
          <t>AI-LEAN OPERATING MODEL:</t>
        </is>
      </c>
    </row>
    <row r="16">
      <c r="B16" s="53" t="inlineStr">
        <is>
          <t>• 50% of headcount are AI agents (concierge/coordination/ops) at ~R0.15m/yr each vs ~R0.70-0.78m/yr fully-loaded human - roughly halves people-cost.</t>
        </is>
      </c>
    </row>
    <row r="17">
      <c r="B17" s="55" t="n"/>
    </row>
    <row r="18">
      <c r="B18" s="54" t="inlineStr">
        <is>
          <t>KEY SOURCED ANCHORS (full citations in docs/dataroom/00-assumptions.md):</t>
        </is>
      </c>
    </row>
    <row r="19">
      <c r="B19" s="53" t="inlineStr">
        <is>
          <t>• Cape Town: median ~R3.4m, average ~R2.1m; R6m+ = prime freehold band (Lightstone/Property24 2024-26).</t>
        </is>
      </c>
    </row>
    <row r="20">
      <c r="B20" s="55" t="inlineStr">
        <is>
          <t>• Bond origination commission 1.0-1.9% of loan; originator referral share ~0.5% (ooba/IOL). Estate agency 5-7% + 15% VAT (Private Property).</t>
        </is>
      </c>
    </row>
    <row r="21">
      <c r="B21" s="55" t="inlineStr">
        <is>
          <t>• Proptech ~8.8x EV/revenue globally; discount to 4-6x for SA early stage (Finro 2025). Purplebricks: IPO GBP240m -&gt; sold for GBP1 (CAC discipline).</t>
        </is>
      </c>
    </row>
    <row r="22">
      <c r="B22" s="55" t="n"/>
    </row>
    <row r="23">
      <c r="B23" s="54" t="inlineStr">
        <is>
          <t>WATCH-OUTS:</t>
        </is>
      </c>
    </row>
    <row r="24">
      <c r="B24" s="53" t="inlineStr">
        <is>
          <t>1. High margins (AI-lean + 1% take + sponsorship) - present a 'reinvest for growth' case. 2. AI agents at 50% of roles in Y1 is aggressive - validate with a pilot.</t>
        </is>
      </c>
    </row>
    <row r="25">
      <c r="B25" s="55" t="inlineStr">
        <is>
          <t>3. Sponsorship value scales with real audience/traffic - keep Y1 conservative until reach is proven.</t>
        </is>
      </c>
    </row>
    <row r="26">
      <c r="B26" s="55" t="n"/>
    </row>
    <row r="27">
      <c r="B27" s="54" t="inlineStr">
        <is>
          <t>HOW TO USE: edit amber cells on Assumptions. P&amp;L, Scenarios and Valuation recalculate automatically.</t>
        </is>
      </c>
    </row>
    <row r="28">
      <c r="B28" s="57" t="n"/>
    </row>
    <row r="29">
      <c r="B29" s="54" t="inlineStr">
        <is>
          <t>COGS (bottom-up): see the COGS Build tab — ~7 direct per-deal lines (messaging, FICA/KYC, e-sign, property data, listing media &amp; portal syndication, add-on/compliance-cert fulfilment, contingency) + ~0.7% payment processing. Blends to ~12% of revenue (~88% gross margin, now DERIVED on Assumptions!C7). Excludes in-house origination cost (own line) and the concierge team (payroll).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2026-06-30T16:03:01Z</dcterms:created>
  <dcterms:modified xsi:type="dcterms:W3CDTF">2026-07-03T07:02:22Z</dcterms:modified>
  <cp:lastModifiedBy>Johannes Le Roux</cp:lastModifiedBy>
</cp:coreProperties>
</file>